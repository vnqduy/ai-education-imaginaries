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https://d.docs.live.net/40c52f3b218ec055/Documents/Hiroshima/thesis/side/ai_news_edu/methods/"/>
    </mc:Choice>
  </mc:AlternateContent>
  <xr:revisionPtr revIDLastSave="0" documentId="11_867F3A538EE39E7EFD3CB862BF85CF0469002695" xr6:coauthVersionLast="47" xr6:coauthVersionMax="47" xr10:uidLastSave="{00000000-0000-0000-0000-000000000000}"/>
  <bookViews>
    <workbookView xWindow="0" yWindow="760" windowWidth="38400" windowHeight="23060" activeTab="1" xr2:uid="{00000000-000D-0000-FFFF-FFFF00000000}"/>
  </bookViews>
  <sheets>
    <sheet name="Milestones" sheetId="1" r:id="rId1"/>
    <sheet name="Work blocks" sheetId="2" r:id="rId2"/>
    <sheet name="Checklist" sheetId="3" r:id="rId3"/>
    <sheet name="Working rul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0" i="2" l="1"/>
  <c r="F19" i="2"/>
  <c r="F18" i="2"/>
  <c r="F17" i="2"/>
  <c r="F16" i="2"/>
  <c r="F15" i="2"/>
  <c r="F14" i="2"/>
  <c r="F13" i="2"/>
  <c r="F12" i="2"/>
  <c r="F11" i="2"/>
  <c r="F10" i="2"/>
  <c r="F9" i="2"/>
  <c r="F8" i="2"/>
  <c r="F7" i="2"/>
  <c r="F6" i="2"/>
  <c r="F5" i="2"/>
  <c r="E12" i="1"/>
  <c r="E11" i="1"/>
  <c r="E10" i="1"/>
  <c r="E9" i="1"/>
  <c r="E8" i="1"/>
  <c r="E7" i="1"/>
  <c r="E6" i="1"/>
  <c r="E5" i="1"/>
</calcChain>
</file>

<file path=xl/sharedStrings.xml><?xml version="1.0" encoding="utf-8"?>
<sst xmlns="http://schemas.openxmlformats.org/spreadsheetml/2006/main" count="463" uniqueCount="282">
  <si>
    <t>Reanalysis → manuscript</t>
  </si>
  <si>
    <t>Target: manuscript ready 23 Dec 2026 • final proof 30 Dec • emergency buffer 31 Dec.</t>
  </si>
  <si>
    <t>Milestone</t>
  </si>
  <si>
    <t>Deadline</t>
  </si>
  <si>
    <t>Required outcome</t>
  </si>
  <si>
    <t>Blocks through</t>
  </si>
  <si>
    <t>Checklist done</t>
  </si>
  <si>
    <t>M1 Sources and design ready</t>
  </si>
  <si>
    <t>Audited source register, documented outlet criteria and eligibility protocol</t>
  </si>
  <si>
    <t>M2 Pilot validated for scaling</t>
  </si>
  <si>
    <t>Working codebook and prompt, separate assessment, documented scale/no-scale decision</t>
  </si>
  <si>
    <t>M3 Corpus extraction complete</t>
  </si>
  <si>
    <t>Traceable outputs, failure register and targeted source review</t>
  </si>
  <si>
    <t>M4 Coding and interpretations settled</t>
  </si>
  <si>
    <t>Final coding, configuration memos and comparative evidence</t>
  </si>
  <si>
    <t>M5 Results complete</t>
  </si>
  <si>
    <t>Reproducible summaries, checked sensitivity analyses and results draft</t>
  </si>
  <si>
    <t>M6 Complete manuscript draft</t>
  </si>
  <si>
    <t>Revised methods, discussion and conclusion integrated with frozen intro/lit</t>
  </si>
  <si>
    <t>M7 Publication package ready</t>
  </si>
  <si>
    <t>Verified claims, references, quotations, tables and repository materials</t>
  </si>
  <si>
    <t>Final deadline</t>
  </si>
  <si>
    <t>Final proof and manuscript frozen; 31 December is emergency buffer only</t>
  </si>
  <si>
    <t>Progress counts completed checklist items cumulatively; it does not replace the completion conditions or validation gates.</t>
  </si>
  <si>
    <t>Planning windows are calendar days, not estimates of full-time effort. No automatic task extension.</t>
  </si>
  <si>
    <t>Bounded work blocks</t>
  </si>
  <si>
    <t>2026 • Japan time • 2–3 calendar days per block; gaps remain free for other projects.</t>
  </si>
  <si>
    <t>Block</t>
  </si>
  <si>
    <t>Work block</t>
  </si>
  <si>
    <t>Start</t>
  </si>
  <si>
    <t>Deliverable</t>
  </si>
  <si>
    <t>Actual completion</t>
  </si>
  <si>
    <t>Deliverable / version</t>
  </si>
  <si>
    <t>Unresolved issue</t>
  </si>
  <si>
    <t>Next bounded action</t>
  </si>
  <si>
    <t>Milestone impact</t>
  </si>
  <si>
    <t>Completion condition</t>
  </si>
  <si>
    <t>Source audit</t>
  </si>
  <si>
    <t>frozen source register and source-quality report.</t>
  </si>
  <si>
    <t>Done when every source has a unique ID and a recorded quality status; unresolved retrieval cases have an explicit disposition.</t>
  </si>
  <si>
    <t>Eligibility and outlet protocol</t>
  </si>
  <si>
    <t>protocol v1 and supported outlet mapping. Completes M1.</t>
  </si>
  <si>
    <t>Done when eligibility and classification decisions can be applied without relying on anticipated results.</t>
  </si>
  <si>
    <t>Human-led pilot</t>
  </si>
  <si>
    <t>pilot source interpretations, provisional codebook and extraction prompt.</t>
  </si>
  <si>
    <t>Done when the pilot yields a usable extraction specification and explicit coding decisions.</t>
  </si>
  <si>
    <t>Calibration</t>
  </si>
  <si>
    <t>working prompt/codebook and calibration report.</t>
  </si>
  <si>
    <t>Done when remaining errors are characterised and the working procedure is ready for separate assessment.</t>
  </si>
  <si>
    <t>Separate assessment</t>
  </si>
  <si>
    <t>assessment report and scale/no-scale decision. Completes M2 if passed.</t>
  </si>
  <si>
    <t>Done when the decision is supported by the predeclared criteria. Failure uses the next block for repair, not premature full-corpus processing.</t>
  </si>
  <si>
    <t>Corpus processing, batch A</t>
  </si>
  <si>
    <t>processed first batch and monitoring log.</t>
  </si>
  <si>
    <t>Done when the planned batch has outputs or recorded failures and monitoring supports continuation.</t>
  </si>
  <si>
    <t>Corpus processing, batch B and reconciliation</t>
  </si>
  <si>
    <t>complete extraction register and reviewed exception queue. Completes M3.</t>
  </si>
  <si>
    <t>Done when every source has a final eligibility/output status and consequential extraction problems have been addressed.</t>
  </si>
  <si>
    <t>Final coding consistency</t>
  </si>
  <si>
    <t>analytical dataset and final codebook.</t>
  </si>
  <si>
    <t>Done when the dataset matches the final definitions and is ready for descriptive analysis.</t>
  </si>
  <si>
    <t>Reconstruction and comparative close reading</t>
  </si>
  <si>
    <t>configuration memos and SIPC comparison matrix. Completes M4.</t>
  </si>
  <si>
    <t>Done when each retained configuration has an inspectable argument and counterevidence has been considered. If key interpretations remain unresolved, use the contingency block rather than inventing closure.</t>
  </si>
  <si>
    <t>Numerical summaries and sensitivity</t>
  </si>
  <si>
    <t>reproducible tables and comparison checks.</t>
  </si>
  <si>
    <t>Done when headline quantities and comparative claims are checked and limitations recorded.</t>
  </si>
  <si>
    <t>Results and evidence</t>
  </si>
  <si>
    <t>results draft with tables and quotation register. Completes M5.</t>
  </si>
  <si>
    <t>Done when every principal result has a traceable numerical or textual basis.</t>
  </si>
  <si>
    <t>Contingency or external review</t>
  </si>
  <si>
    <t>resolved blocker list or reviewed results draft.</t>
  </si>
  <si>
    <t>This block is reserved capacity, not permission to extend previous tasks indefinitely.</t>
  </si>
  <si>
    <t>Complete manuscript</t>
  </si>
  <si>
    <t>complete manuscript draft. Completes M6.</t>
  </si>
  <si>
    <t>Done when all sections form a complete argument and no substantive placeholder is concealed.</t>
  </si>
  <si>
    <t>Claim and publication audit</t>
  </si>
  <si>
    <t>corrected manuscript and verified evidence package.</t>
  </si>
  <si>
    <t>Done when the manuscript and supporting materials agree.</t>
  </si>
  <si>
    <t>Package and freeze</t>
  </si>
  <si>
    <t>manuscript ready for submission or sharing. Completes M7.</t>
  </si>
  <si>
    <t>Final buffer</t>
  </si>
  <si>
    <t>final proof and deadline confirmation.</t>
  </si>
  <si>
    <t>31 December is reserved for an emergency correction, not new analysis. Submission, public repository publication and other external releases remain separate actions requiring the author's instruction.</t>
  </si>
  <si>
    <t>Reanalysis checklist</t>
  </si>
  <si>
    <t>Edit yellow cells. “Done” counts toward block and milestone progress.</t>
  </si>
  <si>
    <t>Task ID</t>
  </si>
  <si>
    <t>Action</t>
  </si>
  <si>
    <t>Status</t>
  </si>
  <si>
    <t>Completed on</t>
  </si>
  <si>
    <t>Notes</t>
  </si>
  <si>
    <t>1.1</t>
  </si>
  <si>
    <t>Preserve the previous analytical files and record their versions.</t>
  </si>
  <si>
    <t>Not started</t>
  </si>
  <si>
    <t>1.2</t>
  </si>
  <si>
    <t>Identify the broadest available source pool; do not inherit the 917-record eligibility boundary automatically.</t>
  </si>
  <si>
    <t>1.3</t>
  </si>
  <si>
    <t>Verify IDs, metadata, URLs and source-text linkage.</t>
  </si>
  <si>
    <t>1.4</t>
  </si>
  <si>
    <t>Check exact/near duplicates, empty texts, truncation and obvious extraction artefacts.</t>
  </si>
  <si>
    <t>1.5</t>
  </si>
  <si>
    <t>Repair retrievable problem texts and record unresolved cases without overwriting originals.</t>
  </si>
  <si>
    <t>1.6</t>
  </si>
  <si>
    <t>Assign stable source locations and text hashes for evidence checking.</t>
  </si>
  <si>
    <t>2.1</t>
  </si>
  <si>
    <t>Specify the six SIPC dimensions and analytical fields.</t>
  </si>
  <si>
    <t>2.2</t>
  </si>
  <si>
    <t>Define explicit, indirect and absent educational AI futures, including present applications and uncertain cases.</t>
  </si>
  <si>
    <t>2.3</t>
  </si>
  <si>
    <t>Specify retention of multiple visions and conflicting speakers.</t>
  </si>
  <si>
    <t>2.4</t>
  </si>
  <si>
    <t>Define domestic, foreign and transnational coverage labels.</t>
  </si>
  <si>
    <t>2.5</t>
  </si>
  <si>
    <t>Document outlet-selection rationale and institutional evidence for grouping; revise labels where necessary.</t>
  </si>
  <si>
    <t>2.6</t>
  </si>
  <si>
    <t>Keep outlet-group labels out of extraction prompts.</t>
  </si>
  <si>
    <t>2.7</t>
  </si>
  <si>
    <t>Record collection information that can be recovered and list historical details that remain unavailable.</t>
  </si>
  <si>
    <t>3.1</t>
  </si>
  <si>
    <t>Select a varied pilot across outlets, periods, technologies and educational contexts.</t>
  </si>
  <si>
    <t>3.2</t>
  </si>
  <si>
    <t>Record and justify pilot size; expand only for a specific unresolved distinction.</t>
  </si>
  <si>
    <t>3.3</t>
  </si>
  <si>
    <t>Read full texts and identify separate visions with supporting passages.</t>
  </si>
  <si>
    <t>3.4</t>
  </si>
  <si>
    <t>Develop categories within SIPC fields, with boundaries and examples.</t>
  </si>
  <si>
    <t>3.5</t>
  </si>
  <si>
    <t>Record ambiguities and initial interpretive memos without imposing the old five configurations.</t>
  </si>
  <si>
    <t>3.6</t>
  </si>
  <si>
    <t>Specify machine-readable outputs linking visions, speakers, evaluations, actions and exact evidence.</t>
  </si>
  <si>
    <t>4.1</t>
  </si>
  <si>
    <t>Record model/version, settings, dates and prompt versions.</t>
  </si>
  <si>
    <t>4.2</t>
  </si>
  <si>
    <t>Compare pilot outputs against full-text interpretations.</t>
  </si>
  <si>
    <t>4.3</t>
  </si>
  <si>
    <t>Check omitted visions, attribution, negation, modality and unsupported inference.</t>
  </si>
  <si>
    <t>4.4</t>
  </si>
  <si>
    <t>Test automatic quotation matching and output validation.</t>
  </si>
  <si>
    <t>4.5</t>
  </si>
  <si>
    <t>Correct recurring problems and retest affected cases.</t>
  </si>
  <si>
    <t>4.6</t>
  </si>
  <si>
    <t>Set assessment criteria before viewing the separate assessment outputs.</t>
  </si>
  <si>
    <t>5.1</t>
  </si>
  <si>
    <t>Select articles not used for calibration, covering relevant corpus variation.</t>
  </si>
  <si>
    <t>5.2</t>
  </si>
  <si>
    <t>Document sample size, selection and reviewer arrangements.</t>
  </si>
  <si>
    <t>5.3</t>
  </si>
  <si>
    <t>Assess eligibility, completeness, attribution and category accuracy against source texts.</t>
  </si>
  <si>
    <t>5.4</t>
  </si>
  <si>
    <t>Examine field-specific and systematic errors, not only aggregate agreement.</t>
  </si>
  <si>
    <t>5.5</t>
  </si>
  <si>
    <t>Report independent agreement only if independent ratings exist.</t>
  </si>
  <si>
    <t>5.6</t>
  </si>
  <si>
    <t>Decide whether to scale, revise/reassess, or simplify the extraction task.</t>
  </si>
  <si>
    <t>6.1</t>
  </si>
  <si>
    <t>Freeze the working prompt/codebook versions for this batch.</t>
  </si>
  <si>
    <t>6.2</t>
  </si>
  <si>
    <t>Process articles independently; record run details and save outputs.</t>
  </si>
  <si>
    <t>6.3</t>
  </si>
  <si>
    <t>Check identifiers, schema and exact evidence matches automatically.</t>
  </si>
  <si>
    <t>6.4</t>
  </si>
  <si>
    <t>Review flagged cases and source-check a spread of ordinary cases.</t>
  </si>
  <si>
    <t>6.5</t>
  </si>
  <si>
    <t>Record coverage, failures and any systematic problem.</t>
  </si>
  <si>
    <t>7.1</t>
  </si>
  <si>
    <t>Process remaining sources using the validated procedure.</t>
  </si>
  <si>
    <t>7.2</t>
  </si>
  <si>
    <t>Resolve extraction failures and uncertain eligibility decisions.</t>
  </si>
  <si>
    <t>7.3</t>
  </si>
  <si>
    <t>Review ambiguous, conflicting and flagged cases.</t>
  </si>
  <si>
    <t>7.4</t>
  </si>
  <si>
    <t>Apply consequential prompt/category revisions to affected earlier records.</t>
  </si>
  <si>
    <t>7.5</t>
  </si>
  <si>
    <t>Reconcile source counts, exclusions and retained article IDs.</t>
  </si>
  <si>
    <t>8.1</t>
  </si>
  <si>
    <t>Consolidate category definitions and review affected records.</t>
  </si>
  <si>
    <t>8.2</t>
  </si>
  <si>
    <t>Distinguish missing, unresolved and absent values.</t>
  </si>
  <si>
    <t>8.3</t>
  </si>
  <si>
    <t>Check difficult boundaries such as literacy/talent, harm/prevention and restriction/adoption.</t>
  </si>
  <si>
    <t>8.4</t>
  </si>
  <si>
    <t>Preserve multiple visions and their evidence links.</t>
  </si>
  <si>
    <t>8.5</t>
  </si>
  <si>
    <t>Record coding coverage and outstanding limitations.</t>
  </si>
  <si>
    <t>9.1</t>
  </si>
  <si>
    <t>Develop candidate imaginaries from the new material.</t>
  </si>
  <si>
    <t>9.2</t>
  </si>
  <si>
    <t>Examine all six SIPC dimensions and explicit relationships.</t>
  </si>
  <si>
    <t>9.3</t>
  </si>
  <si>
    <t>Retrieve supporting, contrasting and contradictory cases across relevant contexts and outlets.</t>
  </si>
  <si>
    <t>9.4</t>
  </si>
  <si>
    <t>Record boundaries, overlaps, alternatives and unspecified elements.</t>
  </si>
  <si>
    <t>9.5</t>
  </si>
  <si>
    <t>Document the scope of close reading and why further expansion was or was not needed.</t>
  </si>
  <si>
    <t>9.6</t>
  </si>
  <si>
    <t>Compare with the old configurations only after developing the new interpretations.</t>
  </si>
  <si>
    <t>10.1</t>
  </si>
  <si>
    <t>Calculate valid denominators and coding coverage.</t>
  </si>
  <si>
    <t>10.2</t>
  </si>
  <si>
    <t>Summarise constituent dimensions without estimating imaginary membership.</t>
  </si>
  <si>
    <t>10.3</t>
  </si>
  <si>
    <t>Compare outlet groups and inspect within-group concentration.</t>
  </si>
  <si>
    <t>10.4</t>
  </si>
  <si>
    <t>Run yes-only and leave-one-outlet-out checks.</t>
  </si>
  <si>
    <t>10.5</t>
  </si>
  <si>
    <t>Examine technology/geography/context composition where relevant to principal claims.</t>
  </si>
  <si>
    <t>10.6</t>
  </si>
  <si>
    <t>Retain temporal checks only if needed and supported; keep sparse earlier coverage descriptive.</t>
  </si>
  <si>
    <t>10.7</t>
  </si>
  <si>
    <t>Verify scripts reproduce the final outputs.</t>
  </si>
  <si>
    <t>11.1</t>
  </si>
  <si>
    <t>Answer RQ1 through reconstruction, RQ2 across SIPC and RQ3 through comparison.</t>
  </si>
  <si>
    <t>11.2</t>
  </si>
  <si>
    <t>Select quotations from the documented interpretive sample, including boundary cases.</t>
  </si>
  <si>
    <t>11.3</t>
  </si>
  <si>
    <t>Verify quotation context, attribution and translations.</t>
  </si>
  <si>
    <t>11.4</t>
  </si>
  <si>
    <t>Remove prevalence/dominance claims unsupported by the unit of coding.</t>
  </si>
  <si>
    <t>11.5</t>
  </si>
  <si>
    <t>Keep reported promises distinct from demonstrated educational effects.</t>
  </si>
  <si>
    <t>12.1</t>
  </si>
  <si>
    <t>Address unfinished validation or reconstruction first.</t>
  </si>
  <si>
    <t>12.2</t>
  </si>
  <si>
    <t>If no blockers remain, obtain feedback where available and check the RQ–evidence alignment.</t>
  </si>
  <si>
    <t>12.3</t>
  </si>
  <si>
    <t>Record changes required; decline optional scope expansion.</t>
  </si>
  <si>
    <t>13.1</t>
  </si>
  <si>
    <t>Update methods to the actual final process and resolve reporting placeholders.</t>
  </si>
  <si>
    <t>13.2</t>
  </si>
  <si>
    <t>Revise discussion and conclusion around the final evidence.</t>
  </si>
  <si>
    <t>13.3</t>
  </si>
  <si>
    <t>Keep intro/lit frozen except for factual corrections and essential alignment.</t>
  </si>
  <si>
    <t>13.4</t>
  </si>
  <si>
    <t>Remove claims of methodological novelty not intended by the study.</t>
  </si>
  <si>
    <t>13.5</t>
  </si>
  <si>
    <t>Check narrative consistency, repetition and word budget.</t>
  </si>
  <si>
    <t>14.1</t>
  </si>
  <si>
    <t>Check claims against tables, texts, memos and methodological references.</t>
  </si>
  <si>
    <t>14.2</t>
  </si>
  <si>
    <t>Verify citations, references, translations, figure labels and table denominators.</t>
  </si>
  <si>
    <t>14.3</t>
  </si>
  <si>
    <t>Confirm limitations reflect sampling, validation and classification.</t>
  </si>
  <si>
    <t>14.4</t>
  </si>
  <si>
    <t>Prepare repository materials and inspect copyright/access arrangements for source texts.</t>
  </si>
  <si>
    <t>14.5</t>
  </si>
  <si>
    <t>Test reproduction from the intended publication package.</t>
  </si>
  <si>
    <t>15.1</t>
  </si>
  <si>
    <t>Finalise repository link and materials description.</t>
  </si>
  <si>
    <t>15.2</t>
  </si>
  <si>
    <t>Apply target-journal formatting if a journal is selected.</t>
  </si>
  <si>
    <t>15.3</t>
  </si>
  <si>
    <t>Check abstract, keywords, statements and supplementary references.</t>
  </si>
  <si>
    <t>15.4</t>
  </si>
  <si>
    <t>Resolve critical issues; list any remaining optional refinements separately.</t>
  </si>
  <si>
    <t>15.5</t>
  </si>
  <si>
    <t>Freeze the manuscript, data and analysis versions.</t>
  </si>
  <si>
    <t>16.1</t>
  </si>
  <si>
    <t>Resolve only consequential outstanding issues.</t>
  </si>
  <si>
    <t>16.2</t>
  </si>
  <si>
    <t>Proofread the final manuscript and test all links.</t>
  </si>
  <si>
    <t>16.3</t>
  </si>
  <si>
    <t>Confirm the final package is complete by 30 December.</t>
  </si>
  <si>
    <t>Working rules and scope</t>
  </si>
  <si>
    <t>Source: methods/reanalysis_checklist_and_deadlines.md • plan dated 4 October 2026.</t>
  </si>
  <si>
    <t>Topic</t>
  </si>
  <si>
    <t>Instruction</t>
  </si>
  <si>
    <t>Scope</t>
  </si>
  <si>
    <t>This plan retains the existing source collection and restarts analysis from full article texts. Intro and literature review remain frozen, apart from corrections required by the final evidence. Existing extractions, coding and configurations are preserved as the earlier analysis; they are not the reference standard for the new run.</t>
  </si>
  <si>
    <t>How to update</t>
  </si>
  <si>
    <t>Update task statuses and completion dates in Checklist. Record deliverable/version, blockers, next action and milestone impact in Work blocks. All yellow cells are editable.</t>
  </si>
  <si>
    <t>Working rule</t>
  </si>
  <si>
    <t>Each scheduled block lasts 2–3 calendar days. Reserve focused sessions within the block; a block does not assume full-time work every day.</t>
  </si>
  <si>
    <t>Dates between blocks are available for other projects. Do not fill them with optional analysis.</t>
  </si>
  <si>
    <t>Start each block with its stated deliverable and stop when the completion condition is met.</t>
  </si>
  <si>
    <t>At the end of an unfinished block, record the exact blocker and remaining work. Use a later contingency block or split the remainder into a bounded task; do not silently extend the deadline.</t>
  </si>
  <si>
    <t>Pilot and assessment are gates: do not scale processing while consequential extraction errors remain unresolved. If this delays a milestone, reduce optional analyses before weakening validation.</t>
  </si>
  <si>
    <t>Keep one protocol, versioned prompts and codebook, and a decision log. Revisit records affected by revisions rather than rerunning everything by default.</t>
  </si>
  <si>
    <t>Add analyses only if required by an RQ or a demonstrated validity problem. Extra models, topic modelling and causal temporal analysis are outside the default scope.</t>
  </si>
  <si>
    <t>Do not claim independent validation without independent ratings. Document the actual reviewer arrangement.</t>
  </si>
  <si>
    <t>End-of-block record</t>
  </si>
  <si>
    <t>For each block, record: actual completion date; deliverable/version; unresolved issue; next bounded action; effect on the next milestone. If behind schedule, prioritise source fidelity, validation and RQ evidence, and remove optional analyses first.</t>
  </si>
  <si>
    <t>31 December is reserved for emergency correction, not new analysis. External releases require the author’s instruction.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</si>
</sst>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m\ yyyy"/>
  </numFmts>
  <fonts count="5">
    <font>
      <sz val="11"/>
      <name val="Carlito"/>
    </font>
    <font>
      <b/>
      <sz val="18"/>
      <color rgb="FF17365D"/>
      <name val="Arial"/>
    </font>
    <font>
      <sz val="10"/>
      <color rgb="FF596579"/>
      <name val="Arial"/>
    </font>
    <font>
      <b/>
      <sz val="10"/>
      <color rgb="FFFFFFFF"/>
      <name val="Arial"/>
    </font>
    <font>
      <sz val="10"/>
      <name val="Arial"/>
    </font>
  </fonts>
  <fills count="5">
    <fill>
      <patternFill patternType="none"/>
    </fill>
    <fill>
      <patternFill patternType="gray125"/>
    </fill>
    <fill>
      <patternFill patternType="solid">
        <fgColor rgb="FF17365D"/>
      </patternFill>
    </fill>
    <fill>
      <patternFill patternType="solid">
        <fgColor rgb="FFEEF3F8"/>
      </patternFill>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applyAlignment="1">
      <alignment vertical="center" wrapText="1"/>
    </xf>
    <xf numFmtId="0" fontId="4" fillId="3" borderId="0" xfId="0" applyFont="1" applyFill="1" applyAlignment="1">
      <alignment vertical="center" wrapText="1"/>
    </xf>
    <xf numFmtId="0" fontId="4" fillId="4" borderId="0" xfId="0" applyFont="1" applyFill="1" applyAlignment="1">
      <alignment vertical="center" wrapText="1"/>
    </xf>
    <xf numFmtId="164" fontId="4" fillId="4" borderId="0" xfId="0" applyNumberFormat="1" applyFont="1" applyFill="1" applyAlignment="1">
      <alignment vertical="center" wrapText="1"/>
    </xf>
    <xf numFmtId="164" fontId="4" fillId="3" borderId="0" xfId="0" applyNumberFormat="1" applyFont="1" applyFill="1" applyAlignment="1">
      <alignment vertical="center" wrapText="1"/>
    </xf>
    <xf numFmtId="164" fontId="4" fillId="0" borderId="0" xfId="0" applyNumberFormat="1" applyFont="1" applyAlignment="1">
      <alignment vertical="center" wrapText="1"/>
    </xf>
    <xf numFmtId="9" fontId="4" fillId="3" borderId="0" xfId="0" applyNumberFormat="1" applyFont="1" applyFill="1" applyAlignment="1">
      <alignment vertical="center" wrapText="1"/>
    </xf>
    <xf numFmtId="9" fontId="4" fillId="0" borderId="0" xfId="0" applyNumberFormat="1"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WorkBlocksTable" displayName="WorkBlocksTable" ref="A4:L20" totalsRowShown="0">
  <tableColumns count="12">
    <tableColumn id="1" xr3:uid="{00000000-0010-0000-0000-000001000000}" name="Block"/>
    <tableColumn id="2" xr3:uid="{00000000-0010-0000-0000-000002000000}" name="Work block"/>
    <tableColumn id="3" xr3:uid="{00000000-0010-0000-0000-000003000000}" name="Start"/>
    <tableColumn id="4" xr3:uid="{00000000-0010-0000-0000-000004000000}" name="Deadline"/>
    <tableColumn id="5" xr3:uid="{00000000-0010-0000-0000-000005000000}" name="Deliverable"/>
    <tableColumn id="6" xr3:uid="{00000000-0010-0000-0000-000006000000}" name="Checklist done"/>
    <tableColumn id="7" xr3:uid="{00000000-0010-0000-0000-000007000000}" name="Actual completion"/>
    <tableColumn id="8" xr3:uid="{00000000-0010-0000-0000-000008000000}" name="Deliverable / version"/>
    <tableColumn id="9" xr3:uid="{00000000-0010-0000-0000-000009000000}" name="Unresolved issue"/>
    <tableColumn id="10" xr3:uid="{00000000-0010-0000-0000-00000A000000}" name="Next bounded action"/>
    <tableColumn id="11" xr3:uid="{00000000-0010-0000-0000-00000B000000}" name="Milestone impact"/>
    <tableColumn id="12" xr3:uid="{00000000-0010-0000-0000-00000C000000}" name="Completion condi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hecklistTable" displayName="ChecklistTable" ref="A4:G89" totalsRowShown="0">
  <tableColumns count="7">
    <tableColumn id="1" xr3:uid="{00000000-0010-0000-0100-000001000000}" name="Task ID"/>
    <tableColumn id="2" xr3:uid="{00000000-0010-0000-0100-000002000000}" name="Block"/>
    <tableColumn id="3" xr3:uid="{00000000-0010-0000-0100-000003000000}" name="Work block"/>
    <tableColumn id="4" xr3:uid="{00000000-0010-0000-0100-000004000000}" name="Action"/>
    <tableColumn id="5" xr3:uid="{00000000-0010-0000-0100-000005000000}" name="Status"/>
    <tableColumn id="6" xr3:uid="{00000000-0010-0000-0100-000006000000}" name="Completed on"/>
    <tableColumn id="7" xr3:uid="{00000000-0010-0000-0100-000007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7"/>
  <sheetViews>
    <sheetView showGridLines="0" zoomScale="150" workbookViewId="0">
      <pane ySplit="4" topLeftCell="A5" activePane="bottomLeft" state="frozen"/>
      <selection pane="bottomLeft"/>
    </sheetView>
  </sheetViews>
  <sheetFormatPr baseColWidth="10" defaultColWidth="8.83203125" defaultRowHeight="15"/>
  <cols>
    <col min="1" max="1" width="36" customWidth="1"/>
    <col min="2" max="2" width="16" customWidth="1"/>
    <col min="3" max="3" width="90" customWidth="1"/>
    <col min="4" max="4" width="16" customWidth="1"/>
    <col min="5" max="5" width="18" customWidth="1"/>
  </cols>
  <sheetData>
    <row r="1" spans="1:5" ht="23">
      <c r="A1" s="1" t="s">
        <v>0</v>
      </c>
    </row>
    <row r="2" spans="1:5">
      <c r="A2" s="2" t="s">
        <v>1</v>
      </c>
    </row>
    <row r="4" spans="1:5" ht="30" customHeight="1">
      <c r="A4" s="3" t="s">
        <v>2</v>
      </c>
      <c r="B4" s="3" t="s">
        <v>3</v>
      </c>
      <c r="C4" s="3" t="s">
        <v>4</v>
      </c>
      <c r="D4" s="3" t="s">
        <v>5</v>
      </c>
      <c r="E4" s="3" t="s">
        <v>6</v>
      </c>
    </row>
    <row r="5" spans="1:5" ht="60" customHeight="1">
      <c r="A5" s="5" t="s">
        <v>7</v>
      </c>
      <c r="B5" s="8">
        <v>46309</v>
      </c>
      <c r="C5" s="5" t="s">
        <v>8</v>
      </c>
      <c r="D5" s="5">
        <v>2</v>
      </c>
      <c r="E5" s="10">
        <f>COUNTIFS(Checklist!B5:B89,"&lt;="&amp;D5,Checklist!E5:E89,"Done")/COUNTIF(Checklist!B5:B89,"&lt;="&amp;D5)</f>
        <v>0</v>
      </c>
    </row>
    <row r="6" spans="1:5" ht="60" customHeight="1">
      <c r="A6" s="4" t="s">
        <v>9</v>
      </c>
      <c r="B6" s="9">
        <v>46325</v>
      </c>
      <c r="C6" s="4" t="s">
        <v>10</v>
      </c>
      <c r="D6" s="4">
        <v>5</v>
      </c>
      <c r="E6" s="11">
        <f>COUNTIFS(Checklist!B5:B89,"&lt;="&amp;D6,Checklist!E5:E89,"Done")/COUNTIF(Checklist!B5:B89,"&lt;="&amp;D6)</f>
        <v>0</v>
      </c>
    </row>
    <row r="7" spans="1:5" ht="60" customHeight="1">
      <c r="A7" s="5" t="s">
        <v>11</v>
      </c>
      <c r="B7" s="8">
        <v>46338</v>
      </c>
      <c r="C7" s="5" t="s">
        <v>12</v>
      </c>
      <c r="D7" s="5">
        <v>7</v>
      </c>
      <c r="E7" s="10">
        <f>COUNTIFS(Checklist!B5:B89,"&lt;="&amp;D7,Checklist!E5:E89,"Done")/COUNTIF(Checklist!B5:B89,"&lt;="&amp;D7)</f>
        <v>0</v>
      </c>
    </row>
    <row r="8" spans="1:5" ht="60" customHeight="1">
      <c r="A8" s="4" t="s">
        <v>13</v>
      </c>
      <c r="B8" s="9">
        <v>46352</v>
      </c>
      <c r="C8" s="4" t="s">
        <v>14</v>
      </c>
      <c r="D8" s="4">
        <v>9</v>
      </c>
      <c r="E8" s="11">
        <f>COUNTIFS(Checklist!B5:B89,"&lt;="&amp;D8,Checklist!E5:E89,"Done")/COUNTIF(Checklist!B5:B89,"&lt;="&amp;D8)</f>
        <v>0</v>
      </c>
    </row>
    <row r="9" spans="1:5" ht="60" customHeight="1">
      <c r="A9" s="5" t="s">
        <v>15</v>
      </c>
      <c r="B9" s="8">
        <v>46360</v>
      </c>
      <c r="C9" s="5" t="s">
        <v>16</v>
      </c>
      <c r="D9" s="5">
        <v>11</v>
      </c>
      <c r="E9" s="10">
        <f>COUNTIFS(Checklist!B5:B89,"&lt;="&amp;D9,Checklist!E5:E89,"Done")/COUNTIF(Checklist!B5:B89,"&lt;="&amp;D9)</f>
        <v>0</v>
      </c>
    </row>
    <row r="10" spans="1:5" ht="60" customHeight="1">
      <c r="A10" s="4" t="s">
        <v>17</v>
      </c>
      <c r="B10" s="9">
        <v>46371</v>
      </c>
      <c r="C10" s="4" t="s">
        <v>18</v>
      </c>
      <c r="D10" s="4">
        <v>13</v>
      </c>
      <c r="E10" s="11">
        <f>COUNTIFS(Checklist!B5:B89,"&lt;="&amp;D10,Checklist!E5:E89,"Done")/COUNTIF(Checklist!B5:B89,"&lt;="&amp;D10)</f>
        <v>0</v>
      </c>
    </row>
    <row r="11" spans="1:5" ht="60" customHeight="1">
      <c r="A11" s="5" t="s">
        <v>19</v>
      </c>
      <c r="B11" s="8">
        <v>46379</v>
      </c>
      <c r="C11" s="5" t="s">
        <v>20</v>
      </c>
      <c r="D11" s="5">
        <v>15</v>
      </c>
      <c r="E11" s="10">
        <f>COUNTIFS(Checklist!B5:B89,"&lt;="&amp;D11,Checklist!E5:E89,"Done")/COUNTIF(Checklist!B5:B89,"&lt;="&amp;D11)</f>
        <v>0</v>
      </c>
    </row>
    <row r="12" spans="1:5" ht="60" customHeight="1">
      <c r="A12" s="4" t="s">
        <v>21</v>
      </c>
      <c r="B12" s="9">
        <v>46386</v>
      </c>
      <c r="C12" s="4" t="s">
        <v>22</v>
      </c>
      <c r="D12" s="4">
        <v>16</v>
      </c>
      <c r="E12" s="11">
        <f>COUNTIFS(Checklist!B5:B89,"&lt;="&amp;D12,Checklist!E5:E89,"Done")/COUNTIF(Checklist!B5:B89,"&lt;="&amp;D12)</f>
        <v>0</v>
      </c>
    </row>
    <row r="15" spans="1:5">
      <c r="A15" t="s">
        <v>23</v>
      </c>
    </row>
    <row r="17" spans="1:1">
      <c r="A17"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showGridLines="0" tabSelected="1" topLeftCell="E1" workbookViewId="0">
      <pane ySplit="4" topLeftCell="A5" activePane="bottomLeft" state="frozen"/>
      <selection pane="bottomLeft" activeCell="E6" sqref="E6"/>
    </sheetView>
  </sheetViews>
  <sheetFormatPr baseColWidth="10" defaultColWidth="8.83203125" defaultRowHeight="15"/>
  <cols>
    <col min="1" max="1" width="8" customWidth="1"/>
    <col min="2" max="2" width="38" customWidth="1"/>
    <col min="3" max="4" width="15" customWidth="1"/>
    <col min="5" max="5" width="60" customWidth="1"/>
    <col min="6" max="6" width="16" customWidth="1"/>
    <col min="7" max="7" width="17" customWidth="1"/>
    <col min="8" max="8" width="30" customWidth="1"/>
    <col min="9" max="10" width="40" customWidth="1"/>
    <col min="11" max="11" width="30" customWidth="1"/>
    <col min="12" max="12" width="80" customWidth="1"/>
  </cols>
  <sheetData>
    <row r="1" spans="1:12" ht="23">
      <c r="A1" s="1" t="s">
        <v>25</v>
      </c>
    </row>
    <row r="2" spans="1:12">
      <c r="A2" s="2" t="s">
        <v>26</v>
      </c>
    </row>
    <row r="4" spans="1:12" ht="30" customHeight="1">
      <c r="A4" s="3" t="s">
        <v>27</v>
      </c>
      <c r="B4" s="3" t="s">
        <v>28</v>
      </c>
      <c r="C4" s="3" t="s">
        <v>29</v>
      </c>
      <c r="D4" s="3" t="s">
        <v>3</v>
      </c>
      <c r="E4" s="3" t="s">
        <v>30</v>
      </c>
      <c r="F4" s="3" t="s">
        <v>6</v>
      </c>
      <c r="G4" s="3" t="s">
        <v>31</v>
      </c>
      <c r="H4" s="3" t="s">
        <v>32</v>
      </c>
      <c r="I4" s="3" t="s">
        <v>33</v>
      </c>
      <c r="J4" s="3" t="s">
        <v>34</v>
      </c>
      <c r="K4" s="3" t="s">
        <v>35</v>
      </c>
      <c r="L4" s="3" t="s">
        <v>36</v>
      </c>
    </row>
    <row r="5" spans="1:12" ht="86" customHeight="1">
      <c r="A5" s="5">
        <v>1</v>
      </c>
      <c r="B5" s="5" t="s">
        <v>37</v>
      </c>
      <c r="C5" s="8">
        <v>46300</v>
      </c>
      <c r="D5" s="8">
        <v>46302</v>
      </c>
      <c r="E5" s="5" t="s">
        <v>38</v>
      </c>
      <c r="F5" s="10">
        <f>COUNTIFS(Checklist!B5:B89,A5,Checklist!E5:E89,"Done")/COUNTIF(Checklist!B5:B89,A5)</f>
        <v>0</v>
      </c>
      <c r="G5" s="7"/>
      <c r="H5" s="6"/>
      <c r="I5" s="6"/>
      <c r="J5" s="6"/>
      <c r="K5" s="6"/>
      <c r="L5" s="5" t="s">
        <v>39</v>
      </c>
    </row>
    <row r="6" spans="1:12" ht="86" customHeight="1">
      <c r="A6" s="4">
        <v>2</v>
      </c>
      <c r="B6" s="4" t="s">
        <v>40</v>
      </c>
      <c r="C6" s="9">
        <v>46307</v>
      </c>
      <c r="D6" s="9">
        <v>46309</v>
      </c>
      <c r="E6" s="4" t="s">
        <v>41</v>
      </c>
      <c r="F6" s="11">
        <f>COUNTIFS(Checklist!B5:B89,A6,Checklist!E5:E89,"Done")/COUNTIF(Checklist!B5:B89,A6)</f>
        <v>0</v>
      </c>
      <c r="G6" s="7"/>
      <c r="H6" s="6"/>
      <c r="I6" s="6"/>
      <c r="J6" s="6"/>
      <c r="K6" s="6"/>
      <c r="L6" s="4" t="s">
        <v>42</v>
      </c>
    </row>
    <row r="7" spans="1:12" ht="86" customHeight="1">
      <c r="A7" s="5">
        <v>3</v>
      </c>
      <c r="B7" s="5" t="s">
        <v>43</v>
      </c>
      <c r="C7" s="8">
        <v>46314</v>
      </c>
      <c r="D7" s="8">
        <v>46316</v>
      </c>
      <c r="E7" s="5" t="s">
        <v>44</v>
      </c>
      <c r="F7" s="10">
        <f>COUNTIFS(Checklist!B5:B89,A7,Checklist!E5:E89,"Done")/COUNTIF(Checklist!B5:B89,A7)</f>
        <v>0</v>
      </c>
      <c r="G7" s="7"/>
      <c r="H7" s="6"/>
      <c r="I7" s="6"/>
      <c r="J7" s="6"/>
      <c r="K7" s="6"/>
      <c r="L7" s="5" t="s">
        <v>45</v>
      </c>
    </row>
    <row r="8" spans="1:12" ht="86" customHeight="1">
      <c r="A8" s="4">
        <v>4</v>
      </c>
      <c r="B8" s="4" t="s">
        <v>46</v>
      </c>
      <c r="C8" s="9">
        <v>46321</v>
      </c>
      <c r="D8" s="9">
        <v>46323</v>
      </c>
      <c r="E8" s="4" t="s">
        <v>47</v>
      </c>
      <c r="F8" s="11">
        <f>COUNTIFS(Checklist!B5:B89,A8,Checklist!E5:E89,"Done")/COUNTIF(Checklist!B5:B89,A8)</f>
        <v>0</v>
      </c>
      <c r="G8" s="7"/>
      <c r="H8" s="6"/>
      <c r="I8" s="6"/>
      <c r="J8" s="6"/>
      <c r="K8" s="6"/>
      <c r="L8" s="4" t="s">
        <v>48</v>
      </c>
    </row>
    <row r="9" spans="1:12" ht="86" customHeight="1">
      <c r="A9" s="5">
        <v>5</v>
      </c>
      <c r="B9" s="5" t="s">
        <v>49</v>
      </c>
      <c r="C9" s="8">
        <v>46324</v>
      </c>
      <c r="D9" s="8">
        <v>46325</v>
      </c>
      <c r="E9" s="5" t="s">
        <v>50</v>
      </c>
      <c r="F9" s="10">
        <f>COUNTIFS(Checklist!B5:B89,A9,Checklist!E5:E89,"Done")/COUNTIF(Checklist!B5:B89,A9)</f>
        <v>0</v>
      </c>
      <c r="G9" s="7"/>
      <c r="H9" s="6"/>
      <c r="I9" s="6"/>
      <c r="J9" s="6"/>
      <c r="K9" s="6"/>
      <c r="L9" s="5" t="s">
        <v>51</v>
      </c>
    </row>
    <row r="10" spans="1:12" ht="86" customHeight="1">
      <c r="A10" s="4">
        <v>6</v>
      </c>
      <c r="B10" s="4" t="s">
        <v>52</v>
      </c>
      <c r="C10" s="9">
        <v>46329</v>
      </c>
      <c r="D10" s="9">
        <v>46331</v>
      </c>
      <c r="E10" s="4" t="s">
        <v>53</v>
      </c>
      <c r="F10" s="11">
        <f>COUNTIFS(Checklist!B5:B89,A10,Checklist!E5:E89,"Done")/COUNTIF(Checklist!B5:B89,A10)</f>
        <v>0</v>
      </c>
      <c r="G10" s="7"/>
      <c r="H10" s="6"/>
      <c r="I10" s="6"/>
      <c r="J10" s="6"/>
      <c r="K10" s="6"/>
      <c r="L10" s="4" t="s">
        <v>54</v>
      </c>
    </row>
    <row r="11" spans="1:12" ht="86" customHeight="1">
      <c r="A11" s="5">
        <v>7</v>
      </c>
      <c r="B11" s="5" t="s">
        <v>55</v>
      </c>
      <c r="C11" s="8">
        <v>46336</v>
      </c>
      <c r="D11" s="8">
        <v>46338</v>
      </c>
      <c r="E11" s="5" t="s">
        <v>56</v>
      </c>
      <c r="F11" s="10">
        <f>COUNTIFS(Checklist!B5:B89,A11,Checklist!E5:E89,"Done")/COUNTIF(Checklist!B5:B89,A11)</f>
        <v>0</v>
      </c>
      <c r="G11" s="7"/>
      <c r="H11" s="6"/>
      <c r="I11" s="6"/>
      <c r="J11" s="6"/>
      <c r="K11" s="6"/>
      <c r="L11" s="5" t="s">
        <v>57</v>
      </c>
    </row>
    <row r="12" spans="1:12" ht="86" customHeight="1">
      <c r="A12" s="4">
        <v>8</v>
      </c>
      <c r="B12" s="4" t="s">
        <v>58</v>
      </c>
      <c r="C12" s="9">
        <v>46343</v>
      </c>
      <c r="D12" s="9">
        <v>46345</v>
      </c>
      <c r="E12" s="4" t="s">
        <v>59</v>
      </c>
      <c r="F12" s="11">
        <f>COUNTIFS(Checklist!B5:B89,A12,Checklist!E5:E89,"Done")/COUNTIF(Checklist!B5:B89,A12)</f>
        <v>0</v>
      </c>
      <c r="G12" s="7"/>
      <c r="H12" s="6"/>
      <c r="I12" s="6"/>
      <c r="J12" s="6"/>
      <c r="K12" s="6"/>
      <c r="L12" s="4" t="s">
        <v>60</v>
      </c>
    </row>
    <row r="13" spans="1:12" ht="86" customHeight="1">
      <c r="A13" s="5">
        <v>9</v>
      </c>
      <c r="B13" s="5" t="s">
        <v>61</v>
      </c>
      <c r="C13" s="8">
        <v>46350</v>
      </c>
      <c r="D13" s="8">
        <v>46352</v>
      </c>
      <c r="E13" s="5" t="s">
        <v>62</v>
      </c>
      <c r="F13" s="10">
        <f>COUNTIFS(Checklist!B5:B89,A13,Checklist!E5:E89,"Done")/COUNTIF(Checklist!B5:B89,A13)</f>
        <v>0</v>
      </c>
      <c r="G13" s="7"/>
      <c r="H13" s="6"/>
      <c r="I13" s="6"/>
      <c r="J13" s="6"/>
      <c r="K13" s="6"/>
      <c r="L13" s="5" t="s">
        <v>63</v>
      </c>
    </row>
    <row r="14" spans="1:12" ht="86" customHeight="1">
      <c r="A14" s="4">
        <v>10</v>
      </c>
      <c r="B14" s="4" t="s">
        <v>64</v>
      </c>
      <c r="C14" s="9">
        <v>46357</v>
      </c>
      <c r="D14" s="9">
        <v>46358</v>
      </c>
      <c r="E14" s="4" t="s">
        <v>65</v>
      </c>
      <c r="F14" s="11">
        <f>COUNTIFS(Checklist!B5:B89,A14,Checklist!E5:E89,"Done")/COUNTIF(Checklist!B5:B89,A14)</f>
        <v>0</v>
      </c>
      <c r="G14" s="7"/>
      <c r="H14" s="6"/>
      <c r="I14" s="6"/>
      <c r="J14" s="6"/>
      <c r="K14" s="6"/>
      <c r="L14" s="4" t="s">
        <v>66</v>
      </c>
    </row>
    <row r="15" spans="1:12" ht="86" customHeight="1">
      <c r="A15" s="5">
        <v>11</v>
      </c>
      <c r="B15" s="5" t="s">
        <v>67</v>
      </c>
      <c r="C15" s="8">
        <v>46359</v>
      </c>
      <c r="D15" s="8">
        <v>46360</v>
      </c>
      <c r="E15" s="5" t="s">
        <v>68</v>
      </c>
      <c r="F15" s="10">
        <f>COUNTIFS(Checklist!B5:B89,A15,Checklist!E5:E89,"Done")/COUNTIF(Checklist!B5:B89,A15)</f>
        <v>0</v>
      </c>
      <c r="G15" s="7"/>
      <c r="H15" s="6"/>
      <c r="I15" s="6"/>
      <c r="J15" s="6"/>
      <c r="K15" s="6"/>
      <c r="L15" s="5" t="s">
        <v>69</v>
      </c>
    </row>
    <row r="16" spans="1:12" ht="86" customHeight="1">
      <c r="A16" s="4">
        <v>12</v>
      </c>
      <c r="B16" s="4" t="s">
        <v>70</v>
      </c>
      <c r="C16" s="9">
        <v>46364</v>
      </c>
      <c r="D16" s="9">
        <v>46366</v>
      </c>
      <c r="E16" s="4" t="s">
        <v>71</v>
      </c>
      <c r="F16" s="11">
        <f>COUNTIFS(Checklist!B5:B89,A16,Checklist!E5:E89,"Done")/COUNTIF(Checklist!B5:B89,A16)</f>
        <v>0</v>
      </c>
      <c r="G16" s="7"/>
      <c r="H16" s="6"/>
      <c r="I16" s="6"/>
      <c r="J16" s="6"/>
      <c r="K16" s="6"/>
      <c r="L16" s="4" t="s">
        <v>72</v>
      </c>
    </row>
    <row r="17" spans="1:12" ht="86" customHeight="1">
      <c r="A17" s="5">
        <v>13</v>
      </c>
      <c r="B17" s="5" t="s">
        <v>73</v>
      </c>
      <c r="C17" s="8">
        <v>46369</v>
      </c>
      <c r="D17" s="8">
        <v>46371</v>
      </c>
      <c r="E17" s="5" t="s">
        <v>74</v>
      </c>
      <c r="F17" s="10">
        <f>COUNTIFS(Checklist!B5:B89,A17,Checklist!E5:E89,"Done")/COUNTIF(Checklist!B5:B89,A17)</f>
        <v>0</v>
      </c>
      <c r="G17" s="7"/>
      <c r="H17" s="6"/>
      <c r="I17" s="6"/>
      <c r="J17" s="6"/>
      <c r="K17" s="6"/>
      <c r="L17" s="5" t="s">
        <v>75</v>
      </c>
    </row>
    <row r="18" spans="1:12" ht="86" customHeight="1">
      <c r="A18" s="4">
        <v>14</v>
      </c>
      <c r="B18" s="4" t="s">
        <v>76</v>
      </c>
      <c r="C18" s="9">
        <v>46374</v>
      </c>
      <c r="D18" s="9">
        <v>46376</v>
      </c>
      <c r="E18" s="4" t="s">
        <v>77</v>
      </c>
      <c r="F18" s="11">
        <f>COUNTIFS(Checklist!B5:B89,A18,Checklist!E5:E89,"Done")/COUNTIF(Checklist!B5:B89,A18)</f>
        <v>0</v>
      </c>
      <c r="G18" s="7"/>
      <c r="H18" s="6"/>
      <c r="I18" s="6"/>
      <c r="J18" s="6"/>
      <c r="K18" s="6"/>
      <c r="L18" s="4" t="s">
        <v>78</v>
      </c>
    </row>
    <row r="19" spans="1:12" ht="86" customHeight="1">
      <c r="A19" s="5">
        <v>15</v>
      </c>
      <c r="B19" s="5" t="s">
        <v>79</v>
      </c>
      <c r="C19" s="8">
        <v>46378</v>
      </c>
      <c r="D19" s="8">
        <v>46379</v>
      </c>
      <c r="E19" s="5" t="s">
        <v>80</v>
      </c>
      <c r="F19" s="10">
        <f>COUNTIFS(Checklist!B5:B89,A19,Checklist!E5:E89,"Done")/COUNTIF(Checklist!B5:B89,A19)</f>
        <v>0</v>
      </c>
      <c r="G19" s="7"/>
      <c r="H19" s="6"/>
      <c r="I19" s="6"/>
      <c r="J19" s="6"/>
      <c r="K19" s="6"/>
      <c r="L19" s="5"/>
    </row>
    <row r="20" spans="1:12" ht="86" customHeight="1">
      <c r="A20" s="4">
        <v>16</v>
      </c>
      <c r="B20" s="4" t="s">
        <v>81</v>
      </c>
      <c r="C20" s="9">
        <v>46385</v>
      </c>
      <c r="D20" s="9">
        <v>46386</v>
      </c>
      <c r="E20" s="4" t="s">
        <v>82</v>
      </c>
      <c r="F20" s="11">
        <f>COUNTIFS(Checklist!B5:B89,A20,Checklist!E5:E89,"Done")/COUNTIF(Checklist!B5:B89,A20)</f>
        <v>0</v>
      </c>
      <c r="G20" s="7"/>
      <c r="H20" s="6"/>
      <c r="I20" s="6"/>
      <c r="J20" s="6"/>
      <c r="K20" s="6"/>
      <c r="L20" s="4" t="s">
        <v>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9"/>
  <sheetViews>
    <sheetView showGridLines="0" workbookViewId="0">
      <pane ySplit="4" topLeftCell="A41" activePane="bottomLeft" state="frozen"/>
      <selection pane="bottomLeft" activeCell="E41" sqref="E41"/>
    </sheetView>
  </sheetViews>
  <sheetFormatPr baseColWidth="10" defaultColWidth="8.83203125" defaultRowHeight="15"/>
  <cols>
    <col min="1" max="1" width="10" customWidth="1"/>
    <col min="2" max="2" width="8" customWidth="1"/>
    <col min="3" max="3" width="36" customWidth="1"/>
    <col min="4" max="4" width="82" customWidth="1"/>
    <col min="5" max="5" width="17" customWidth="1"/>
    <col min="6" max="6" width="16" customWidth="1"/>
    <col min="7" max="7" width="48" customWidth="1"/>
  </cols>
  <sheetData>
    <row r="1" spans="1:7" ht="23">
      <c r="A1" s="1" t="s">
        <v>84</v>
      </c>
    </row>
    <row r="2" spans="1:7">
      <c r="A2" s="2" t="s">
        <v>85</v>
      </c>
    </row>
    <row r="4" spans="1:7" ht="30" customHeight="1">
      <c r="A4" s="3" t="s">
        <v>86</v>
      </c>
      <c r="B4" s="3" t="s">
        <v>27</v>
      </c>
      <c r="C4" s="3" t="s">
        <v>28</v>
      </c>
      <c r="D4" s="3" t="s">
        <v>87</v>
      </c>
      <c r="E4" s="3" t="s">
        <v>88</v>
      </c>
      <c r="F4" s="3" t="s">
        <v>89</v>
      </c>
      <c r="G4" s="3" t="s">
        <v>90</v>
      </c>
    </row>
    <row r="5" spans="1:7" ht="48" customHeight="1">
      <c r="A5" s="5" t="s">
        <v>91</v>
      </c>
      <c r="B5" s="5">
        <v>1</v>
      </c>
      <c r="C5" s="5" t="s">
        <v>37</v>
      </c>
      <c r="D5" s="5" t="s">
        <v>92</v>
      </c>
      <c r="E5" s="6" t="s">
        <v>93</v>
      </c>
      <c r="F5" s="7"/>
      <c r="G5" s="6"/>
    </row>
    <row r="6" spans="1:7" ht="48" customHeight="1">
      <c r="A6" s="4" t="s">
        <v>94</v>
      </c>
      <c r="B6" s="4">
        <v>1</v>
      </c>
      <c r="C6" s="4" t="s">
        <v>37</v>
      </c>
      <c r="D6" s="4" t="s">
        <v>95</v>
      </c>
      <c r="E6" s="6" t="s">
        <v>93</v>
      </c>
      <c r="F6" s="7"/>
      <c r="G6" s="6"/>
    </row>
    <row r="7" spans="1:7" ht="48" customHeight="1">
      <c r="A7" s="5" t="s">
        <v>96</v>
      </c>
      <c r="B7" s="5">
        <v>1</v>
      </c>
      <c r="C7" s="5" t="s">
        <v>37</v>
      </c>
      <c r="D7" s="5" t="s">
        <v>97</v>
      </c>
      <c r="E7" s="6" t="s">
        <v>93</v>
      </c>
      <c r="F7" s="7"/>
      <c r="G7" s="6"/>
    </row>
    <row r="8" spans="1:7" ht="48" customHeight="1">
      <c r="A8" s="4" t="s">
        <v>98</v>
      </c>
      <c r="B8" s="4">
        <v>1</v>
      </c>
      <c r="C8" s="4" t="s">
        <v>37</v>
      </c>
      <c r="D8" s="4" t="s">
        <v>99</v>
      </c>
      <c r="E8" s="6" t="s">
        <v>93</v>
      </c>
      <c r="F8" s="7"/>
      <c r="G8" s="6"/>
    </row>
    <row r="9" spans="1:7" ht="48" customHeight="1">
      <c r="A9" s="5" t="s">
        <v>100</v>
      </c>
      <c r="B9" s="5">
        <v>1</v>
      </c>
      <c r="C9" s="5" t="s">
        <v>37</v>
      </c>
      <c r="D9" s="5" t="s">
        <v>101</v>
      </c>
      <c r="E9" s="6" t="s">
        <v>93</v>
      </c>
      <c r="F9" s="7"/>
      <c r="G9" s="6"/>
    </row>
    <row r="10" spans="1:7" ht="48" customHeight="1">
      <c r="A10" s="4" t="s">
        <v>102</v>
      </c>
      <c r="B10" s="4">
        <v>1</v>
      </c>
      <c r="C10" s="4" t="s">
        <v>37</v>
      </c>
      <c r="D10" s="4" t="s">
        <v>103</v>
      </c>
      <c r="E10" s="6" t="s">
        <v>93</v>
      </c>
      <c r="F10" s="7"/>
      <c r="G10" s="6"/>
    </row>
    <row r="11" spans="1:7" ht="48" customHeight="1">
      <c r="A11" s="5" t="s">
        <v>104</v>
      </c>
      <c r="B11" s="5">
        <v>2</v>
      </c>
      <c r="C11" s="5" t="s">
        <v>40</v>
      </c>
      <c r="D11" s="5" t="s">
        <v>105</v>
      </c>
      <c r="E11" s="6" t="s">
        <v>93</v>
      </c>
      <c r="F11" s="7"/>
      <c r="G11" s="6"/>
    </row>
    <row r="12" spans="1:7" ht="48" customHeight="1">
      <c r="A12" s="4" t="s">
        <v>106</v>
      </c>
      <c r="B12" s="4">
        <v>2</v>
      </c>
      <c r="C12" s="4" t="s">
        <v>40</v>
      </c>
      <c r="D12" s="4" t="s">
        <v>107</v>
      </c>
      <c r="E12" s="6" t="s">
        <v>93</v>
      </c>
      <c r="F12" s="7"/>
      <c r="G12" s="6"/>
    </row>
    <row r="13" spans="1:7" ht="48" customHeight="1">
      <c r="A13" s="5" t="s">
        <v>108</v>
      </c>
      <c r="B13" s="5">
        <v>2</v>
      </c>
      <c r="C13" s="5" t="s">
        <v>40</v>
      </c>
      <c r="D13" s="5" t="s">
        <v>109</v>
      </c>
      <c r="E13" s="6" t="s">
        <v>93</v>
      </c>
      <c r="F13" s="7"/>
      <c r="G13" s="6"/>
    </row>
    <row r="14" spans="1:7" ht="48" customHeight="1">
      <c r="A14" s="4" t="s">
        <v>110</v>
      </c>
      <c r="B14" s="4">
        <v>2</v>
      </c>
      <c r="C14" s="4" t="s">
        <v>40</v>
      </c>
      <c r="D14" s="4" t="s">
        <v>111</v>
      </c>
      <c r="E14" s="6" t="s">
        <v>93</v>
      </c>
      <c r="F14" s="7"/>
      <c r="G14" s="6"/>
    </row>
    <row r="15" spans="1:7" ht="48" customHeight="1">
      <c r="A15" s="5" t="s">
        <v>112</v>
      </c>
      <c r="B15" s="5">
        <v>2</v>
      </c>
      <c r="C15" s="5" t="s">
        <v>40</v>
      </c>
      <c r="D15" s="5" t="s">
        <v>113</v>
      </c>
      <c r="E15" s="6" t="s">
        <v>93</v>
      </c>
      <c r="F15" s="7"/>
      <c r="G15" s="6"/>
    </row>
    <row r="16" spans="1:7" ht="48" customHeight="1">
      <c r="A16" s="4" t="s">
        <v>114</v>
      </c>
      <c r="B16" s="4">
        <v>2</v>
      </c>
      <c r="C16" s="4" t="s">
        <v>40</v>
      </c>
      <c r="D16" s="4" t="s">
        <v>115</v>
      </c>
      <c r="E16" s="6" t="s">
        <v>93</v>
      </c>
      <c r="F16" s="7"/>
      <c r="G16" s="6"/>
    </row>
    <row r="17" spans="1:7" ht="48" customHeight="1">
      <c r="A17" s="5" t="s">
        <v>116</v>
      </c>
      <c r="B17" s="5">
        <v>2</v>
      </c>
      <c r="C17" s="5" t="s">
        <v>40</v>
      </c>
      <c r="D17" s="5" t="s">
        <v>117</v>
      </c>
      <c r="E17" s="6" t="s">
        <v>93</v>
      </c>
      <c r="F17" s="7"/>
      <c r="G17" s="6"/>
    </row>
    <row r="18" spans="1:7" ht="48" customHeight="1">
      <c r="A18" s="4" t="s">
        <v>118</v>
      </c>
      <c r="B18" s="4">
        <v>3</v>
      </c>
      <c r="C18" s="4" t="s">
        <v>43</v>
      </c>
      <c r="D18" s="4" t="s">
        <v>119</v>
      </c>
      <c r="E18" s="6" t="s">
        <v>93</v>
      </c>
      <c r="F18" s="7"/>
      <c r="G18" s="6"/>
    </row>
    <row r="19" spans="1:7" ht="48" customHeight="1">
      <c r="A19" s="5" t="s">
        <v>120</v>
      </c>
      <c r="B19" s="5">
        <v>3</v>
      </c>
      <c r="C19" s="5" t="s">
        <v>43</v>
      </c>
      <c r="D19" s="5" t="s">
        <v>121</v>
      </c>
      <c r="E19" s="6" t="s">
        <v>93</v>
      </c>
      <c r="F19" s="7"/>
      <c r="G19" s="6"/>
    </row>
    <row r="20" spans="1:7" ht="48" customHeight="1">
      <c r="A20" s="4" t="s">
        <v>122</v>
      </c>
      <c r="B20" s="4">
        <v>3</v>
      </c>
      <c r="C20" s="4" t="s">
        <v>43</v>
      </c>
      <c r="D20" s="4" t="s">
        <v>123</v>
      </c>
      <c r="E20" s="6" t="s">
        <v>93</v>
      </c>
      <c r="F20" s="7"/>
      <c r="G20" s="6"/>
    </row>
    <row r="21" spans="1:7" ht="48" customHeight="1">
      <c r="A21" s="5" t="s">
        <v>124</v>
      </c>
      <c r="B21" s="5">
        <v>3</v>
      </c>
      <c r="C21" s="5" t="s">
        <v>43</v>
      </c>
      <c r="D21" s="5" t="s">
        <v>125</v>
      </c>
      <c r="E21" s="6" t="s">
        <v>93</v>
      </c>
      <c r="F21" s="7"/>
      <c r="G21" s="6"/>
    </row>
    <row r="22" spans="1:7" ht="48" customHeight="1">
      <c r="A22" s="4" t="s">
        <v>126</v>
      </c>
      <c r="B22" s="4">
        <v>3</v>
      </c>
      <c r="C22" s="4" t="s">
        <v>43</v>
      </c>
      <c r="D22" s="4" t="s">
        <v>127</v>
      </c>
      <c r="E22" s="6" t="s">
        <v>93</v>
      </c>
      <c r="F22" s="7"/>
      <c r="G22" s="6"/>
    </row>
    <row r="23" spans="1:7" ht="48" customHeight="1">
      <c r="A23" s="5" t="s">
        <v>128</v>
      </c>
      <c r="B23" s="5">
        <v>3</v>
      </c>
      <c r="C23" s="5" t="s">
        <v>43</v>
      </c>
      <c r="D23" s="5" t="s">
        <v>129</v>
      </c>
      <c r="E23" s="6" t="s">
        <v>93</v>
      </c>
      <c r="F23" s="7"/>
      <c r="G23" s="6"/>
    </row>
    <row r="24" spans="1:7" ht="48" customHeight="1">
      <c r="A24" s="4" t="s">
        <v>130</v>
      </c>
      <c r="B24" s="4">
        <v>4</v>
      </c>
      <c r="C24" s="4" t="s">
        <v>46</v>
      </c>
      <c r="D24" s="4" t="s">
        <v>131</v>
      </c>
      <c r="E24" s="6" t="s">
        <v>93</v>
      </c>
      <c r="F24" s="7"/>
      <c r="G24" s="6"/>
    </row>
    <row r="25" spans="1:7" ht="48" customHeight="1">
      <c r="A25" s="5" t="s">
        <v>132</v>
      </c>
      <c r="B25" s="5">
        <v>4</v>
      </c>
      <c r="C25" s="5" t="s">
        <v>46</v>
      </c>
      <c r="D25" s="5" t="s">
        <v>133</v>
      </c>
      <c r="E25" s="6" t="s">
        <v>93</v>
      </c>
      <c r="F25" s="7"/>
      <c r="G25" s="6"/>
    </row>
    <row r="26" spans="1:7" ht="48" customHeight="1">
      <c r="A26" s="4" t="s">
        <v>134</v>
      </c>
      <c r="B26" s="4">
        <v>4</v>
      </c>
      <c r="C26" s="4" t="s">
        <v>46</v>
      </c>
      <c r="D26" s="4" t="s">
        <v>135</v>
      </c>
      <c r="E26" s="6" t="s">
        <v>93</v>
      </c>
      <c r="F26" s="7"/>
      <c r="G26" s="6"/>
    </row>
    <row r="27" spans="1:7" ht="48" customHeight="1">
      <c r="A27" s="5" t="s">
        <v>136</v>
      </c>
      <c r="B27" s="5">
        <v>4</v>
      </c>
      <c r="C27" s="5" t="s">
        <v>46</v>
      </c>
      <c r="D27" s="5" t="s">
        <v>137</v>
      </c>
      <c r="E27" s="6" t="s">
        <v>93</v>
      </c>
      <c r="F27" s="7"/>
      <c r="G27" s="6"/>
    </row>
    <row r="28" spans="1:7" ht="48" customHeight="1">
      <c r="A28" s="4" t="s">
        <v>138</v>
      </c>
      <c r="B28" s="4">
        <v>4</v>
      </c>
      <c r="C28" s="4" t="s">
        <v>46</v>
      </c>
      <c r="D28" s="4" t="s">
        <v>139</v>
      </c>
      <c r="E28" s="6" t="s">
        <v>93</v>
      </c>
      <c r="F28" s="7"/>
      <c r="G28" s="6"/>
    </row>
    <row r="29" spans="1:7" ht="48" customHeight="1">
      <c r="A29" s="5" t="s">
        <v>140</v>
      </c>
      <c r="B29" s="5">
        <v>4</v>
      </c>
      <c r="C29" s="5" t="s">
        <v>46</v>
      </c>
      <c r="D29" s="5" t="s">
        <v>141</v>
      </c>
      <c r="E29" s="6" t="s">
        <v>93</v>
      </c>
      <c r="F29" s="7"/>
      <c r="G29" s="6"/>
    </row>
    <row r="30" spans="1:7" ht="48" customHeight="1">
      <c r="A30" s="4" t="s">
        <v>142</v>
      </c>
      <c r="B30" s="4">
        <v>5</v>
      </c>
      <c r="C30" s="4" t="s">
        <v>49</v>
      </c>
      <c r="D30" s="4" t="s">
        <v>143</v>
      </c>
      <c r="E30" s="6" t="s">
        <v>93</v>
      </c>
      <c r="F30" s="7"/>
      <c r="G30" s="6"/>
    </row>
    <row r="31" spans="1:7" ht="48" customHeight="1">
      <c r="A31" s="5" t="s">
        <v>144</v>
      </c>
      <c r="B31" s="5">
        <v>5</v>
      </c>
      <c r="C31" s="5" t="s">
        <v>49</v>
      </c>
      <c r="D31" s="5" t="s">
        <v>145</v>
      </c>
      <c r="E31" s="6" t="s">
        <v>93</v>
      </c>
      <c r="F31" s="7"/>
      <c r="G31" s="6"/>
    </row>
    <row r="32" spans="1:7" ht="48" customHeight="1">
      <c r="A32" s="4" t="s">
        <v>146</v>
      </c>
      <c r="B32" s="4">
        <v>5</v>
      </c>
      <c r="C32" s="4" t="s">
        <v>49</v>
      </c>
      <c r="D32" s="4" t="s">
        <v>147</v>
      </c>
      <c r="E32" s="6" t="s">
        <v>93</v>
      </c>
      <c r="F32" s="7"/>
      <c r="G32" s="6"/>
    </row>
    <row r="33" spans="1:7" ht="48" customHeight="1">
      <c r="A33" s="5" t="s">
        <v>148</v>
      </c>
      <c r="B33" s="5">
        <v>5</v>
      </c>
      <c r="C33" s="5" t="s">
        <v>49</v>
      </c>
      <c r="D33" s="5" t="s">
        <v>149</v>
      </c>
      <c r="E33" s="6" t="s">
        <v>93</v>
      </c>
      <c r="F33" s="7"/>
      <c r="G33" s="6"/>
    </row>
    <row r="34" spans="1:7" ht="48" customHeight="1">
      <c r="A34" s="4" t="s">
        <v>150</v>
      </c>
      <c r="B34" s="4">
        <v>5</v>
      </c>
      <c r="C34" s="4" t="s">
        <v>49</v>
      </c>
      <c r="D34" s="4" t="s">
        <v>151</v>
      </c>
      <c r="E34" s="6" t="s">
        <v>93</v>
      </c>
      <c r="F34" s="7"/>
      <c r="G34" s="6"/>
    </row>
    <row r="35" spans="1:7" ht="48" customHeight="1">
      <c r="A35" s="5" t="s">
        <v>152</v>
      </c>
      <c r="B35" s="5">
        <v>5</v>
      </c>
      <c r="C35" s="5" t="s">
        <v>49</v>
      </c>
      <c r="D35" s="5" t="s">
        <v>153</v>
      </c>
      <c r="E35" s="6" t="s">
        <v>93</v>
      </c>
      <c r="F35" s="7"/>
      <c r="G35" s="6"/>
    </row>
    <row r="36" spans="1:7" ht="48" customHeight="1">
      <c r="A36" s="4" t="s">
        <v>154</v>
      </c>
      <c r="B36" s="4">
        <v>6</v>
      </c>
      <c r="C36" s="4" t="s">
        <v>52</v>
      </c>
      <c r="D36" s="4" t="s">
        <v>155</v>
      </c>
      <c r="E36" s="6" t="s">
        <v>93</v>
      </c>
      <c r="F36" s="7"/>
      <c r="G36" s="6"/>
    </row>
    <row r="37" spans="1:7" ht="48" customHeight="1">
      <c r="A37" s="5" t="s">
        <v>156</v>
      </c>
      <c r="B37" s="5">
        <v>6</v>
      </c>
      <c r="C37" s="5" t="s">
        <v>52</v>
      </c>
      <c r="D37" s="5" t="s">
        <v>157</v>
      </c>
      <c r="E37" s="6" t="s">
        <v>93</v>
      </c>
      <c r="F37" s="7"/>
      <c r="G37" s="6"/>
    </row>
    <row r="38" spans="1:7" ht="48" customHeight="1">
      <c r="A38" s="4" t="s">
        <v>158</v>
      </c>
      <c r="B38" s="4">
        <v>6</v>
      </c>
      <c r="C38" s="4" t="s">
        <v>52</v>
      </c>
      <c r="D38" s="4" t="s">
        <v>159</v>
      </c>
      <c r="E38" s="6" t="s">
        <v>93</v>
      </c>
      <c r="F38" s="7"/>
      <c r="G38" s="6"/>
    </row>
    <row r="39" spans="1:7" ht="48" customHeight="1">
      <c r="A39" s="5" t="s">
        <v>160</v>
      </c>
      <c r="B39" s="5">
        <v>6</v>
      </c>
      <c r="C39" s="5" t="s">
        <v>52</v>
      </c>
      <c r="D39" s="5" t="s">
        <v>161</v>
      </c>
      <c r="E39" s="6" t="s">
        <v>93</v>
      </c>
      <c r="F39" s="7"/>
      <c r="G39" s="6"/>
    </row>
    <row r="40" spans="1:7" ht="48" customHeight="1">
      <c r="A40" s="4" t="s">
        <v>162</v>
      </c>
      <c r="B40" s="4">
        <v>6</v>
      </c>
      <c r="C40" s="4" t="s">
        <v>52</v>
      </c>
      <c r="D40" s="4" t="s">
        <v>163</v>
      </c>
      <c r="E40" s="6" t="s">
        <v>93</v>
      </c>
      <c r="F40" s="7"/>
      <c r="G40" s="6"/>
    </row>
    <row r="41" spans="1:7" ht="48" customHeight="1">
      <c r="A41" s="5" t="s">
        <v>164</v>
      </c>
      <c r="B41" s="5">
        <v>7</v>
      </c>
      <c r="C41" s="5" t="s">
        <v>55</v>
      </c>
      <c r="D41" s="5" t="s">
        <v>165</v>
      </c>
      <c r="E41" s="6" t="s">
        <v>93</v>
      </c>
      <c r="F41" s="7"/>
      <c r="G41" s="6"/>
    </row>
    <row r="42" spans="1:7" ht="48" customHeight="1">
      <c r="A42" s="4" t="s">
        <v>166</v>
      </c>
      <c r="B42" s="4">
        <v>7</v>
      </c>
      <c r="C42" s="4" t="s">
        <v>55</v>
      </c>
      <c r="D42" s="4" t="s">
        <v>167</v>
      </c>
      <c r="E42" s="6" t="s">
        <v>93</v>
      </c>
      <c r="F42" s="7"/>
      <c r="G42" s="6"/>
    </row>
    <row r="43" spans="1:7" ht="48" customHeight="1">
      <c r="A43" s="5" t="s">
        <v>168</v>
      </c>
      <c r="B43" s="5">
        <v>7</v>
      </c>
      <c r="C43" s="5" t="s">
        <v>55</v>
      </c>
      <c r="D43" s="5" t="s">
        <v>169</v>
      </c>
      <c r="E43" s="6" t="s">
        <v>93</v>
      </c>
      <c r="F43" s="7"/>
      <c r="G43" s="6"/>
    </row>
    <row r="44" spans="1:7" ht="48" customHeight="1">
      <c r="A44" s="4" t="s">
        <v>170</v>
      </c>
      <c r="B44" s="4">
        <v>7</v>
      </c>
      <c r="C44" s="4" t="s">
        <v>55</v>
      </c>
      <c r="D44" s="4" t="s">
        <v>171</v>
      </c>
      <c r="E44" s="6" t="s">
        <v>93</v>
      </c>
      <c r="F44" s="7"/>
      <c r="G44" s="6"/>
    </row>
    <row r="45" spans="1:7" ht="48" customHeight="1">
      <c r="A45" s="5" t="s">
        <v>172</v>
      </c>
      <c r="B45" s="5">
        <v>7</v>
      </c>
      <c r="C45" s="5" t="s">
        <v>55</v>
      </c>
      <c r="D45" s="5" t="s">
        <v>173</v>
      </c>
      <c r="E45" s="6" t="s">
        <v>93</v>
      </c>
      <c r="F45" s="7"/>
      <c r="G45" s="6"/>
    </row>
    <row r="46" spans="1:7" ht="48" customHeight="1">
      <c r="A46" s="4" t="s">
        <v>174</v>
      </c>
      <c r="B46" s="4">
        <v>8</v>
      </c>
      <c r="C46" s="4" t="s">
        <v>58</v>
      </c>
      <c r="D46" s="4" t="s">
        <v>175</v>
      </c>
      <c r="E46" s="6" t="s">
        <v>93</v>
      </c>
      <c r="F46" s="7"/>
      <c r="G46" s="6"/>
    </row>
    <row r="47" spans="1:7" ht="48" customHeight="1">
      <c r="A47" s="5" t="s">
        <v>176</v>
      </c>
      <c r="B47" s="5">
        <v>8</v>
      </c>
      <c r="C47" s="5" t="s">
        <v>58</v>
      </c>
      <c r="D47" s="5" t="s">
        <v>177</v>
      </c>
      <c r="E47" s="6" t="s">
        <v>93</v>
      </c>
      <c r="F47" s="7"/>
      <c r="G47" s="6"/>
    </row>
    <row r="48" spans="1:7" ht="48" customHeight="1">
      <c r="A48" s="4" t="s">
        <v>178</v>
      </c>
      <c r="B48" s="4">
        <v>8</v>
      </c>
      <c r="C48" s="4" t="s">
        <v>58</v>
      </c>
      <c r="D48" s="4" t="s">
        <v>179</v>
      </c>
      <c r="E48" s="6" t="s">
        <v>93</v>
      </c>
      <c r="F48" s="7"/>
      <c r="G48" s="6"/>
    </row>
    <row r="49" spans="1:7" ht="48" customHeight="1">
      <c r="A49" s="5" t="s">
        <v>180</v>
      </c>
      <c r="B49" s="5">
        <v>8</v>
      </c>
      <c r="C49" s="5" t="s">
        <v>58</v>
      </c>
      <c r="D49" s="5" t="s">
        <v>181</v>
      </c>
      <c r="E49" s="6" t="s">
        <v>93</v>
      </c>
      <c r="F49" s="7"/>
      <c r="G49" s="6"/>
    </row>
    <row r="50" spans="1:7" ht="48" customHeight="1">
      <c r="A50" s="4" t="s">
        <v>182</v>
      </c>
      <c r="B50" s="4">
        <v>8</v>
      </c>
      <c r="C50" s="4" t="s">
        <v>58</v>
      </c>
      <c r="D50" s="4" t="s">
        <v>183</v>
      </c>
      <c r="E50" s="6" t="s">
        <v>93</v>
      </c>
      <c r="F50" s="7"/>
      <c r="G50" s="6"/>
    </row>
    <row r="51" spans="1:7" ht="48" customHeight="1">
      <c r="A51" s="5" t="s">
        <v>184</v>
      </c>
      <c r="B51" s="5">
        <v>9</v>
      </c>
      <c r="C51" s="5" t="s">
        <v>61</v>
      </c>
      <c r="D51" s="5" t="s">
        <v>185</v>
      </c>
      <c r="E51" s="6" t="s">
        <v>93</v>
      </c>
      <c r="F51" s="7"/>
      <c r="G51" s="6"/>
    </row>
    <row r="52" spans="1:7" ht="48" customHeight="1">
      <c r="A52" s="4" t="s">
        <v>186</v>
      </c>
      <c r="B52" s="4">
        <v>9</v>
      </c>
      <c r="C52" s="4" t="s">
        <v>61</v>
      </c>
      <c r="D52" s="4" t="s">
        <v>187</v>
      </c>
      <c r="E52" s="6" t="s">
        <v>93</v>
      </c>
      <c r="F52" s="7"/>
      <c r="G52" s="6"/>
    </row>
    <row r="53" spans="1:7" ht="48" customHeight="1">
      <c r="A53" s="5" t="s">
        <v>188</v>
      </c>
      <c r="B53" s="5">
        <v>9</v>
      </c>
      <c r="C53" s="5" t="s">
        <v>61</v>
      </c>
      <c r="D53" s="5" t="s">
        <v>189</v>
      </c>
      <c r="E53" s="6" t="s">
        <v>93</v>
      </c>
      <c r="F53" s="7"/>
      <c r="G53" s="6"/>
    </row>
    <row r="54" spans="1:7" ht="48" customHeight="1">
      <c r="A54" s="4" t="s">
        <v>190</v>
      </c>
      <c r="B54" s="4">
        <v>9</v>
      </c>
      <c r="C54" s="4" t="s">
        <v>61</v>
      </c>
      <c r="D54" s="4" t="s">
        <v>191</v>
      </c>
      <c r="E54" s="6" t="s">
        <v>93</v>
      </c>
      <c r="F54" s="7"/>
      <c r="G54" s="6"/>
    </row>
    <row r="55" spans="1:7" ht="48" customHeight="1">
      <c r="A55" s="5" t="s">
        <v>192</v>
      </c>
      <c r="B55" s="5">
        <v>9</v>
      </c>
      <c r="C55" s="5" t="s">
        <v>61</v>
      </c>
      <c r="D55" s="5" t="s">
        <v>193</v>
      </c>
      <c r="E55" s="6" t="s">
        <v>93</v>
      </c>
      <c r="F55" s="7"/>
      <c r="G55" s="6"/>
    </row>
    <row r="56" spans="1:7" ht="48" customHeight="1">
      <c r="A56" s="4" t="s">
        <v>194</v>
      </c>
      <c r="B56" s="4">
        <v>9</v>
      </c>
      <c r="C56" s="4" t="s">
        <v>61</v>
      </c>
      <c r="D56" s="4" t="s">
        <v>195</v>
      </c>
      <c r="E56" s="6" t="s">
        <v>93</v>
      </c>
      <c r="F56" s="7"/>
      <c r="G56" s="6"/>
    </row>
    <row r="57" spans="1:7" ht="48" customHeight="1">
      <c r="A57" s="5" t="s">
        <v>196</v>
      </c>
      <c r="B57" s="5">
        <v>10</v>
      </c>
      <c r="C57" s="5" t="s">
        <v>64</v>
      </c>
      <c r="D57" s="5" t="s">
        <v>197</v>
      </c>
      <c r="E57" s="6" t="s">
        <v>93</v>
      </c>
      <c r="F57" s="7"/>
      <c r="G57" s="6"/>
    </row>
    <row r="58" spans="1:7" ht="48" customHeight="1">
      <c r="A58" s="4" t="s">
        <v>198</v>
      </c>
      <c r="B58" s="4">
        <v>10</v>
      </c>
      <c r="C58" s="4" t="s">
        <v>64</v>
      </c>
      <c r="D58" s="4" t="s">
        <v>199</v>
      </c>
      <c r="E58" s="6" t="s">
        <v>93</v>
      </c>
      <c r="F58" s="7"/>
      <c r="G58" s="6"/>
    </row>
    <row r="59" spans="1:7" ht="48" customHeight="1">
      <c r="A59" s="5" t="s">
        <v>200</v>
      </c>
      <c r="B59" s="5">
        <v>10</v>
      </c>
      <c r="C59" s="5" t="s">
        <v>64</v>
      </c>
      <c r="D59" s="5" t="s">
        <v>201</v>
      </c>
      <c r="E59" s="6" t="s">
        <v>93</v>
      </c>
      <c r="F59" s="7"/>
      <c r="G59" s="6"/>
    </row>
    <row r="60" spans="1:7" ht="48" customHeight="1">
      <c r="A60" s="4" t="s">
        <v>202</v>
      </c>
      <c r="B60" s="4">
        <v>10</v>
      </c>
      <c r="C60" s="4" t="s">
        <v>64</v>
      </c>
      <c r="D60" s="4" t="s">
        <v>203</v>
      </c>
      <c r="E60" s="6" t="s">
        <v>93</v>
      </c>
      <c r="F60" s="7"/>
      <c r="G60" s="6"/>
    </row>
    <row r="61" spans="1:7" ht="48" customHeight="1">
      <c r="A61" s="5" t="s">
        <v>204</v>
      </c>
      <c r="B61" s="5">
        <v>10</v>
      </c>
      <c r="C61" s="5" t="s">
        <v>64</v>
      </c>
      <c r="D61" s="5" t="s">
        <v>205</v>
      </c>
      <c r="E61" s="6" t="s">
        <v>93</v>
      </c>
      <c r="F61" s="7"/>
      <c r="G61" s="6"/>
    </row>
    <row r="62" spans="1:7" ht="48" customHeight="1">
      <c r="A62" s="4" t="s">
        <v>206</v>
      </c>
      <c r="B62" s="4">
        <v>10</v>
      </c>
      <c r="C62" s="4" t="s">
        <v>64</v>
      </c>
      <c r="D62" s="4" t="s">
        <v>207</v>
      </c>
      <c r="E62" s="6" t="s">
        <v>93</v>
      </c>
      <c r="F62" s="7"/>
      <c r="G62" s="6"/>
    </row>
    <row r="63" spans="1:7" ht="48" customHeight="1">
      <c r="A63" s="5" t="s">
        <v>208</v>
      </c>
      <c r="B63" s="5">
        <v>10</v>
      </c>
      <c r="C63" s="5" t="s">
        <v>64</v>
      </c>
      <c r="D63" s="5" t="s">
        <v>209</v>
      </c>
      <c r="E63" s="6" t="s">
        <v>93</v>
      </c>
      <c r="F63" s="7"/>
      <c r="G63" s="6"/>
    </row>
    <row r="64" spans="1:7" ht="48" customHeight="1">
      <c r="A64" s="4" t="s">
        <v>210</v>
      </c>
      <c r="B64" s="4">
        <v>11</v>
      </c>
      <c r="C64" s="4" t="s">
        <v>67</v>
      </c>
      <c r="D64" s="4" t="s">
        <v>211</v>
      </c>
      <c r="E64" s="6" t="s">
        <v>93</v>
      </c>
      <c r="F64" s="7"/>
      <c r="G64" s="6"/>
    </row>
    <row r="65" spans="1:7" ht="48" customHeight="1">
      <c r="A65" s="5" t="s">
        <v>212</v>
      </c>
      <c r="B65" s="5">
        <v>11</v>
      </c>
      <c r="C65" s="5" t="s">
        <v>67</v>
      </c>
      <c r="D65" s="5" t="s">
        <v>213</v>
      </c>
      <c r="E65" s="6" t="s">
        <v>93</v>
      </c>
      <c r="F65" s="7"/>
      <c r="G65" s="6"/>
    </row>
    <row r="66" spans="1:7" ht="48" customHeight="1">
      <c r="A66" s="4" t="s">
        <v>214</v>
      </c>
      <c r="B66" s="4">
        <v>11</v>
      </c>
      <c r="C66" s="4" t="s">
        <v>67</v>
      </c>
      <c r="D66" s="4" t="s">
        <v>215</v>
      </c>
      <c r="E66" s="6" t="s">
        <v>93</v>
      </c>
      <c r="F66" s="7"/>
      <c r="G66" s="6"/>
    </row>
    <row r="67" spans="1:7" ht="48" customHeight="1">
      <c r="A67" s="5" t="s">
        <v>216</v>
      </c>
      <c r="B67" s="5">
        <v>11</v>
      </c>
      <c r="C67" s="5" t="s">
        <v>67</v>
      </c>
      <c r="D67" s="5" t="s">
        <v>217</v>
      </c>
      <c r="E67" s="6" t="s">
        <v>93</v>
      </c>
      <c r="F67" s="7"/>
      <c r="G67" s="6"/>
    </row>
    <row r="68" spans="1:7" ht="48" customHeight="1">
      <c r="A68" s="4" t="s">
        <v>218</v>
      </c>
      <c r="B68" s="4">
        <v>11</v>
      </c>
      <c r="C68" s="4" t="s">
        <v>67</v>
      </c>
      <c r="D68" s="4" t="s">
        <v>219</v>
      </c>
      <c r="E68" s="6" t="s">
        <v>93</v>
      </c>
      <c r="F68" s="7"/>
      <c r="G68" s="6"/>
    </row>
    <row r="69" spans="1:7" ht="48" customHeight="1">
      <c r="A69" s="5" t="s">
        <v>220</v>
      </c>
      <c r="B69" s="5">
        <v>12</v>
      </c>
      <c r="C69" s="5" t="s">
        <v>70</v>
      </c>
      <c r="D69" s="5" t="s">
        <v>221</v>
      </c>
      <c r="E69" s="6" t="s">
        <v>93</v>
      </c>
      <c r="F69" s="7"/>
      <c r="G69" s="6"/>
    </row>
    <row r="70" spans="1:7" ht="48" customHeight="1">
      <c r="A70" s="4" t="s">
        <v>222</v>
      </c>
      <c r="B70" s="4">
        <v>12</v>
      </c>
      <c r="C70" s="4" t="s">
        <v>70</v>
      </c>
      <c r="D70" s="4" t="s">
        <v>223</v>
      </c>
      <c r="E70" s="6" t="s">
        <v>93</v>
      </c>
      <c r="F70" s="7"/>
      <c r="G70" s="6"/>
    </row>
    <row r="71" spans="1:7" ht="48" customHeight="1">
      <c r="A71" s="5" t="s">
        <v>224</v>
      </c>
      <c r="B71" s="5">
        <v>12</v>
      </c>
      <c r="C71" s="5" t="s">
        <v>70</v>
      </c>
      <c r="D71" s="5" t="s">
        <v>225</v>
      </c>
      <c r="E71" s="6" t="s">
        <v>93</v>
      </c>
      <c r="F71" s="7"/>
      <c r="G71" s="6"/>
    </row>
    <row r="72" spans="1:7" ht="48" customHeight="1">
      <c r="A72" s="4" t="s">
        <v>226</v>
      </c>
      <c r="B72" s="4">
        <v>13</v>
      </c>
      <c r="C72" s="4" t="s">
        <v>73</v>
      </c>
      <c r="D72" s="4" t="s">
        <v>227</v>
      </c>
      <c r="E72" s="6" t="s">
        <v>93</v>
      </c>
      <c r="F72" s="7"/>
      <c r="G72" s="6"/>
    </row>
    <row r="73" spans="1:7" ht="48" customHeight="1">
      <c r="A73" s="5" t="s">
        <v>228</v>
      </c>
      <c r="B73" s="5">
        <v>13</v>
      </c>
      <c r="C73" s="5" t="s">
        <v>73</v>
      </c>
      <c r="D73" s="5" t="s">
        <v>229</v>
      </c>
      <c r="E73" s="6" t="s">
        <v>93</v>
      </c>
      <c r="F73" s="7"/>
      <c r="G73" s="6"/>
    </row>
    <row r="74" spans="1:7" ht="48" customHeight="1">
      <c r="A74" s="4" t="s">
        <v>230</v>
      </c>
      <c r="B74" s="4">
        <v>13</v>
      </c>
      <c r="C74" s="4" t="s">
        <v>73</v>
      </c>
      <c r="D74" s="4" t="s">
        <v>231</v>
      </c>
      <c r="E74" s="6" t="s">
        <v>93</v>
      </c>
      <c r="F74" s="7"/>
      <c r="G74" s="6"/>
    </row>
    <row r="75" spans="1:7" ht="48" customHeight="1">
      <c r="A75" s="5" t="s">
        <v>232</v>
      </c>
      <c r="B75" s="5">
        <v>13</v>
      </c>
      <c r="C75" s="5" t="s">
        <v>73</v>
      </c>
      <c r="D75" s="5" t="s">
        <v>233</v>
      </c>
      <c r="E75" s="6" t="s">
        <v>93</v>
      </c>
      <c r="F75" s="7"/>
      <c r="G75" s="6"/>
    </row>
    <row r="76" spans="1:7" ht="48" customHeight="1">
      <c r="A76" s="4" t="s">
        <v>234</v>
      </c>
      <c r="B76" s="4">
        <v>13</v>
      </c>
      <c r="C76" s="4" t="s">
        <v>73</v>
      </c>
      <c r="D76" s="4" t="s">
        <v>235</v>
      </c>
      <c r="E76" s="6" t="s">
        <v>93</v>
      </c>
      <c r="F76" s="7"/>
      <c r="G76" s="6"/>
    </row>
    <row r="77" spans="1:7" ht="48" customHeight="1">
      <c r="A77" s="5" t="s">
        <v>236</v>
      </c>
      <c r="B77" s="5">
        <v>14</v>
      </c>
      <c r="C77" s="5" t="s">
        <v>76</v>
      </c>
      <c r="D77" s="5" t="s">
        <v>237</v>
      </c>
      <c r="E77" s="6" t="s">
        <v>93</v>
      </c>
      <c r="F77" s="7"/>
      <c r="G77" s="6"/>
    </row>
    <row r="78" spans="1:7" ht="48" customHeight="1">
      <c r="A78" s="4" t="s">
        <v>238</v>
      </c>
      <c r="B78" s="4">
        <v>14</v>
      </c>
      <c r="C78" s="4" t="s">
        <v>76</v>
      </c>
      <c r="D78" s="4" t="s">
        <v>239</v>
      </c>
      <c r="E78" s="6" t="s">
        <v>93</v>
      </c>
      <c r="F78" s="7"/>
      <c r="G78" s="6"/>
    </row>
    <row r="79" spans="1:7" ht="48" customHeight="1">
      <c r="A79" s="5" t="s">
        <v>240</v>
      </c>
      <c r="B79" s="5">
        <v>14</v>
      </c>
      <c r="C79" s="5" t="s">
        <v>76</v>
      </c>
      <c r="D79" s="5" t="s">
        <v>241</v>
      </c>
      <c r="E79" s="6" t="s">
        <v>93</v>
      </c>
      <c r="F79" s="7"/>
      <c r="G79" s="6"/>
    </row>
    <row r="80" spans="1:7" ht="48" customHeight="1">
      <c r="A80" s="4" t="s">
        <v>242</v>
      </c>
      <c r="B80" s="4">
        <v>14</v>
      </c>
      <c r="C80" s="4" t="s">
        <v>76</v>
      </c>
      <c r="D80" s="4" t="s">
        <v>243</v>
      </c>
      <c r="E80" s="6" t="s">
        <v>93</v>
      </c>
      <c r="F80" s="7"/>
      <c r="G80" s="6"/>
    </row>
    <row r="81" spans="1:7" ht="48" customHeight="1">
      <c r="A81" s="5" t="s">
        <v>244</v>
      </c>
      <c r="B81" s="5">
        <v>14</v>
      </c>
      <c r="C81" s="5" t="s">
        <v>76</v>
      </c>
      <c r="D81" s="5" t="s">
        <v>245</v>
      </c>
      <c r="E81" s="6" t="s">
        <v>93</v>
      </c>
      <c r="F81" s="7"/>
      <c r="G81" s="6"/>
    </row>
    <row r="82" spans="1:7" ht="48" customHeight="1">
      <c r="A82" s="4" t="s">
        <v>246</v>
      </c>
      <c r="B82" s="4">
        <v>15</v>
      </c>
      <c r="C82" s="4" t="s">
        <v>79</v>
      </c>
      <c r="D82" s="4" t="s">
        <v>247</v>
      </c>
      <c r="E82" s="6" t="s">
        <v>93</v>
      </c>
      <c r="F82" s="7"/>
      <c r="G82" s="6"/>
    </row>
    <row r="83" spans="1:7" ht="48" customHeight="1">
      <c r="A83" s="5" t="s">
        <v>248</v>
      </c>
      <c r="B83" s="5">
        <v>15</v>
      </c>
      <c r="C83" s="5" t="s">
        <v>79</v>
      </c>
      <c r="D83" s="5" t="s">
        <v>249</v>
      </c>
      <c r="E83" s="6" t="s">
        <v>93</v>
      </c>
      <c r="F83" s="7"/>
      <c r="G83" s="6"/>
    </row>
    <row r="84" spans="1:7" ht="48" customHeight="1">
      <c r="A84" s="4" t="s">
        <v>250</v>
      </c>
      <c r="B84" s="4">
        <v>15</v>
      </c>
      <c r="C84" s="4" t="s">
        <v>79</v>
      </c>
      <c r="D84" s="4" t="s">
        <v>251</v>
      </c>
      <c r="E84" s="6" t="s">
        <v>93</v>
      </c>
      <c r="F84" s="7"/>
      <c r="G84" s="6"/>
    </row>
    <row r="85" spans="1:7" ht="48" customHeight="1">
      <c r="A85" s="5" t="s">
        <v>252</v>
      </c>
      <c r="B85" s="5">
        <v>15</v>
      </c>
      <c r="C85" s="5" t="s">
        <v>79</v>
      </c>
      <c r="D85" s="5" t="s">
        <v>253</v>
      </c>
      <c r="E85" s="6" t="s">
        <v>93</v>
      </c>
      <c r="F85" s="7"/>
      <c r="G85" s="6"/>
    </row>
    <row r="86" spans="1:7" ht="48" customHeight="1">
      <c r="A86" s="4" t="s">
        <v>254</v>
      </c>
      <c r="B86" s="4">
        <v>15</v>
      </c>
      <c r="C86" s="4" t="s">
        <v>79</v>
      </c>
      <c r="D86" s="4" t="s">
        <v>255</v>
      </c>
      <c r="E86" s="6" t="s">
        <v>93</v>
      </c>
      <c r="F86" s="7"/>
      <c r="G86" s="6"/>
    </row>
    <row r="87" spans="1:7" ht="48" customHeight="1">
      <c r="A87" s="5" t="s">
        <v>256</v>
      </c>
      <c r="B87" s="5">
        <v>16</v>
      </c>
      <c r="C87" s="5" t="s">
        <v>81</v>
      </c>
      <c r="D87" s="5" t="s">
        <v>257</v>
      </c>
      <c r="E87" s="6" t="s">
        <v>93</v>
      </c>
      <c r="F87" s="7"/>
      <c r="G87" s="6"/>
    </row>
    <row r="88" spans="1:7" ht="48" customHeight="1">
      <c r="A88" s="4" t="s">
        <v>258</v>
      </c>
      <c r="B88" s="4">
        <v>16</v>
      </c>
      <c r="C88" s="4" t="s">
        <v>81</v>
      </c>
      <c r="D88" s="4" t="s">
        <v>259</v>
      </c>
      <c r="E88" s="6" t="s">
        <v>93</v>
      </c>
      <c r="F88" s="7"/>
      <c r="G88" s="6"/>
    </row>
    <row r="89" spans="1:7" ht="48" customHeight="1">
      <c r="A89" s="5" t="s">
        <v>260</v>
      </c>
      <c r="B89" s="5">
        <v>16</v>
      </c>
      <c r="C89" s="5" t="s">
        <v>81</v>
      </c>
      <c r="D89" s="5" t="s">
        <v>261</v>
      </c>
      <c r="E89" s="6" t="s">
        <v>93</v>
      </c>
      <c r="F89" s="7"/>
      <c r="G89" s="6"/>
    </row>
  </sheetData>
  <dataValidations count="1">
    <dataValidation type="list" sqref="E5:E89" xr:uid="{00000000-0002-0000-0200-000000000000}">
      <formula1>"Not started,In progress,Done,Blocked"</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showGridLines="0" zoomScale="200" zoomScaleNormal="200" workbookViewId="0">
      <pane ySplit="4" topLeftCell="A12" activePane="bottomLeft" state="frozen"/>
      <selection pane="bottomLeft"/>
    </sheetView>
  </sheetViews>
  <sheetFormatPr baseColWidth="10" defaultColWidth="8.83203125" defaultRowHeight="15"/>
  <cols>
    <col min="1" max="1" width="25" customWidth="1"/>
    <col min="2" max="2" width="120" customWidth="1"/>
  </cols>
  <sheetData>
    <row r="1" spans="1:2" ht="23">
      <c r="A1" s="1" t="s">
        <v>262</v>
      </c>
    </row>
    <row r="2" spans="1:2">
      <c r="A2" s="2" t="s">
        <v>263</v>
      </c>
    </row>
    <row r="4" spans="1:2" ht="30" customHeight="1">
      <c r="A4" s="3" t="s">
        <v>264</v>
      </c>
      <c r="B4" s="3" t="s">
        <v>265</v>
      </c>
    </row>
    <row r="5" spans="1:2" ht="64" customHeight="1">
      <c r="A5" s="5" t="s">
        <v>266</v>
      </c>
      <c r="B5" s="5" t="s">
        <v>267</v>
      </c>
    </row>
    <row r="6" spans="1:2" ht="64" customHeight="1">
      <c r="A6" s="4" t="s">
        <v>268</v>
      </c>
      <c r="B6" s="4" t="s">
        <v>269</v>
      </c>
    </row>
    <row r="7" spans="1:2" ht="64" customHeight="1">
      <c r="A7" s="5" t="s">
        <v>270</v>
      </c>
      <c r="B7" s="5" t="s">
        <v>271</v>
      </c>
    </row>
    <row r="8" spans="1:2" ht="64" customHeight="1">
      <c r="A8" s="4" t="s">
        <v>270</v>
      </c>
      <c r="B8" s="4" t="s">
        <v>272</v>
      </c>
    </row>
    <row r="9" spans="1:2" ht="64" customHeight="1">
      <c r="A9" s="5" t="s">
        <v>270</v>
      </c>
      <c r="B9" s="5" t="s">
        <v>273</v>
      </c>
    </row>
    <row r="10" spans="1:2" ht="64" customHeight="1">
      <c r="A10" s="4" t="s">
        <v>270</v>
      </c>
      <c r="B10" s="4" t="s">
        <v>274</v>
      </c>
    </row>
    <row r="11" spans="1:2" ht="64" customHeight="1">
      <c r="A11" s="5" t="s">
        <v>270</v>
      </c>
      <c r="B11" s="5" t="s">
        <v>275</v>
      </c>
    </row>
    <row r="12" spans="1:2" ht="64" customHeight="1">
      <c r="A12" s="4" t="s">
        <v>270</v>
      </c>
      <c r="B12" s="4" t="s">
        <v>276</v>
      </c>
    </row>
    <row r="13" spans="1:2" ht="64" customHeight="1">
      <c r="A13" s="5" t="s">
        <v>270</v>
      </c>
      <c r="B13" s="5" t="s">
        <v>277</v>
      </c>
    </row>
    <row r="14" spans="1:2" ht="64" customHeight="1">
      <c r="A14" s="4" t="s">
        <v>270</v>
      </c>
      <c r="B14" s="4" t="s">
        <v>278</v>
      </c>
    </row>
    <row r="15" spans="1:2" ht="64" customHeight="1">
      <c r="A15" s="5" t="s">
        <v>279</v>
      </c>
      <c r="B15" s="5" t="s">
        <v>280</v>
      </c>
    </row>
    <row r="16" spans="1:2" ht="64" customHeight="1">
      <c r="A16" s="4" t="s">
        <v>81</v>
      </c>
      <c r="B16" s="4"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Milestones</vt:lpstr>
      <vt:lpstr>Work blocks</vt:lpstr>
      <vt:lpstr>Checklist</vt:lpstr>
      <vt:lpstr>Working 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Duy Vũ</cp:lastModifiedBy>
  <dcterms:modified xsi:type="dcterms:W3CDTF">2026-10-03T15:20:59Z</dcterms:modified>
</cp:coreProperties>
</file>